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 Mercy\Documents\Excel\"/>
    </mc:Choice>
  </mc:AlternateContent>
  <xr:revisionPtr revIDLastSave="0" documentId="8_{603A3132-54C1-40BA-AD66-27A2272DFDF9}" xr6:coauthVersionLast="47" xr6:coauthVersionMax="47" xr10:uidLastSave="{00000000-0000-0000-0000-000000000000}"/>
  <bookViews>
    <workbookView xWindow="-120" yWindow="1320" windowWidth="29040" windowHeight="14175" xr2:uid="{602CF1AE-2869-4EC1-AECB-2ED144820FD6}"/>
  </bookViews>
  <sheets>
    <sheet name="Tabela e Gráfico" sheetId="3" r:id="rId1"/>
    <sheet name="Dados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<sst xmlns="http://schemas.openxmlformats.org/spreadsheetml/2006/main" count="315" uniqueCount="22">
  <si>
    <t>nome_posto</t>
  </si>
  <si>
    <t>bairro</t>
  </si>
  <si>
    <t>tipo_combustivel</t>
  </si>
  <si>
    <t>valor_combustivel</t>
  </si>
  <si>
    <t>data_coleta</t>
  </si>
  <si>
    <t>AUTO POSTO LUCAS - EPP.</t>
  </si>
  <si>
    <t>CASTELANDIA</t>
  </si>
  <si>
    <t>Diesel</t>
  </si>
  <si>
    <t>CENTRAL COMERCIO DE COMBUSTIVEIS LTDA</t>
  </si>
  <si>
    <t>CIVIT II</t>
  </si>
  <si>
    <t>POSTO TIMS</t>
  </si>
  <si>
    <t>TIMS</t>
  </si>
  <si>
    <t>REDE DE POSTOS SAGUI LTDA</t>
  </si>
  <si>
    <t>SAO DIOGO I</t>
  </si>
  <si>
    <t>Etanol</t>
  </si>
  <si>
    <t>Gasolina Aditivada</t>
  </si>
  <si>
    <t>Gasolina Comum</t>
  </si>
  <si>
    <t>Rótulos de Coluna</t>
  </si>
  <si>
    <t>POSTO METRÓPOLES</t>
  </si>
  <si>
    <t>Soma de valor_combustivel</t>
  </si>
  <si>
    <t>Rótulos de Linha</t>
  </si>
  <si>
    <t>Combustivel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</si>
</sst>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4"/>
      <color theme="1"/>
      <name val="JetBrainsMono NF"/>
      <family val="2"/>
    </font>
    <font>
      <sz val="14"/>
      <color theme="1"/>
      <name val="JetBrainsMono NF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JetBrainsMono NF"/>
      <family val="2"/>
    </font>
    <font>
      <b/>
      <sz val="13"/>
      <color theme="3"/>
      <name val="JetBrainsMono NF"/>
      <family val="2"/>
    </font>
    <font>
      <b/>
      <sz val="11"/>
      <color theme="3"/>
      <name val="JetBrainsMono NF"/>
      <family val="2"/>
    </font>
    <font>
      <sz val="14"/>
      <color rgb="FF006100"/>
      <name val="JetBrainsMono NF"/>
      <family val="2"/>
    </font>
    <font>
      <sz val="14"/>
      <color rgb="FF9C0006"/>
      <name val="JetBrainsMono NF"/>
      <family val="2"/>
    </font>
    <font>
      <sz val="14"/>
      <color rgb="FF9C5700"/>
      <name val="JetBrainsMono NF"/>
      <family val="2"/>
    </font>
    <font>
      <sz val="14"/>
      <color rgb="FF3F3F76"/>
      <name val="JetBrainsMono NF"/>
      <family val="2"/>
    </font>
    <font>
      <b/>
      <sz val="14"/>
      <color rgb="FF3F3F3F"/>
      <name val="JetBrainsMono NF"/>
      <family val="2"/>
    </font>
    <font>
      <b/>
      <sz val="14"/>
      <color rgb="FFFA7D00"/>
      <name val="JetBrainsMono NF"/>
      <family val="2"/>
    </font>
    <font>
      <sz val="14"/>
      <color rgb="FFFA7D00"/>
      <name val="JetBrainsMono NF"/>
      <family val="2"/>
    </font>
    <font>
      <b/>
      <sz val="14"/>
      <color theme="0"/>
      <name val="JetBrainsMono NF"/>
      <family val="2"/>
    </font>
    <font>
      <sz val="14"/>
      <color rgb="FFFF0000"/>
      <name val="JetBrainsMono NF"/>
      <family val="2"/>
    </font>
    <font>
      <i/>
      <sz val="14"/>
      <color rgb="FF7F7F7F"/>
      <name val="JetBrainsMono NF"/>
      <family val="2"/>
    </font>
    <font>
      <b/>
      <sz val="14"/>
      <color theme="1"/>
      <name val="JetBrainsMono NF"/>
      <family val="2"/>
    </font>
    <font>
      <sz val="14"/>
      <color theme="0"/>
      <name val="JetBrainsMono NF"/>
      <family val="2"/>
    </font>
    <font>
      <sz val="16"/>
      <color theme="1"/>
      <name val="JetBrainsMono NF"/>
      <family val="2"/>
    </font>
    <font>
      <sz val="16"/>
      <color theme="0"/>
      <name val="Segoe UI"/>
      <family val="2"/>
    </font>
    <font>
      <b/>
      <sz val="16"/>
      <color theme="0"/>
      <name val="Segoe UI"/>
      <family val="2"/>
    </font>
    <font>
      <sz val="22"/>
      <color theme="0"/>
      <name val="Segoe UI"/>
      <family val="2"/>
    </font>
    <font>
      <u/>
      <sz val="14"/>
      <color theme="1"/>
      <name val="JetBrainsMono NF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14" fontId="0" fillId="0" borderId="0" xfId="0" applyNumberFormat="1"/>
    <xf numFmtId="0" fontId="18" fillId="0" borderId="0" xfId="0" pivotButton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14" fontId="20" fillId="33" borderId="10" xfId="0" applyNumberFormat="1" applyFont="1" applyFill="1" applyBorder="1" applyAlignment="1">
      <alignment horizontal="center" vertical="center"/>
    </xf>
    <xf numFmtId="3" fontId="21" fillId="33" borderId="10" xfId="0" applyNumberFormat="1" applyFont="1" applyFill="1" applyBorder="1" applyAlignment="1">
      <alignment horizontal="center" vertical="center"/>
    </xf>
    <xf numFmtId="0" fontId="22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5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name val="Segoe UI"/>
      </font>
    </dxf>
    <dxf>
      <font>
        <name val="Segoe UI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sz val="22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name val="Segoe UI"/>
      </font>
    </dxf>
    <dxf>
      <font>
        <name val="Segoe UI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sz val="22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name val="Segoe UI"/>
      </font>
    </dxf>
    <dxf>
      <font>
        <name val="Segoe UI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sz val="22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name val="Segoe UI"/>
      </font>
    </dxf>
    <dxf>
      <font>
        <name val="Segoe UI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sz val="22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name val="Segoe UI"/>
      </font>
    </dxf>
    <dxf>
      <font>
        <name val="Segoe UI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sz val="22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name val="Segoe UI"/>
      </font>
    </dxf>
    <dxf>
      <font>
        <name val="Segoe UI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sz val="22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name val="Segoe UI"/>
      </font>
    </dxf>
    <dxf>
      <font>
        <name val="Segoe UI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sz val="22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18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22"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sz val="16"/>
      </font>
    </dxf>
    <dxf>
      <font>
        <sz val="16"/>
      </font>
    </dxf>
    <dxf>
      <font>
        <name val="Segoe UI"/>
      </font>
    </dxf>
    <dxf>
      <font>
        <name val="Segoe U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[combustiveis.xlsx]Tabela e Gráfico!Tabela dinâmica2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538580133166845"/>
          <c:y val="6.8359086569130173E-2"/>
          <c:w val="0.72020023992034543"/>
          <c:h val="0.67111000013887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 e Gráfico'!$B$4:$B$5</c:f>
              <c:strCache>
                <c:ptCount val="1"/>
                <c:pt idx="0">
                  <c:v>AUTO POSTO LUCAS - EPP.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e Gráfico'!$A$6:$A$15</c:f>
              <c:strCache>
                <c:ptCount val="10"/>
                <c:pt idx="0">
                  <c:v>27/07/2026</c:v>
                </c:pt>
                <c:pt idx="1">
                  <c:v>28/07/2026</c:v>
                </c:pt>
                <c:pt idx="2">
                  <c:v>03/08/2026</c:v>
                </c:pt>
                <c:pt idx="3">
                  <c:v>04/08/2026</c:v>
                </c:pt>
                <c:pt idx="4">
                  <c:v>10/08/2026</c:v>
                </c:pt>
                <c:pt idx="5">
                  <c:v>11/08/2026</c:v>
                </c:pt>
                <c:pt idx="6">
                  <c:v>17/08/2026</c:v>
                </c:pt>
                <c:pt idx="7">
                  <c:v>18/08/2026</c:v>
                </c:pt>
                <c:pt idx="8">
                  <c:v>24/08/2026</c:v>
                </c:pt>
                <c:pt idx="9">
                  <c:v>25/08/2026</c:v>
                </c:pt>
              </c:strCache>
            </c:strRef>
          </c:cat>
          <c:val>
            <c:numRef>
              <c:f>'Tabela e Gráfico'!$B$6:$B$15</c:f>
              <c:numCache>
                <c:formatCode>#,##0</c:formatCode>
                <c:ptCount val="10"/>
                <c:pt idx="0">
                  <c:v>6780</c:v>
                </c:pt>
                <c:pt idx="3">
                  <c:v>6780</c:v>
                </c:pt>
                <c:pt idx="4">
                  <c:v>6680</c:v>
                </c:pt>
                <c:pt idx="7">
                  <c:v>6680</c:v>
                </c:pt>
                <c:pt idx="8">
                  <c:v>6680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E-4509-996E-1680E2A78799}"/>
            </c:ext>
          </c:extLst>
        </c:ser>
        <c:ser>
          <c:idx val="1"/>
          <c:order val="1"/>
          <c:tx>
            <c:strRef>
              <c:f>'Tabela e Gráfico'!$C$4:$C$5</c:f>
              <c:strCache>
                <c:ptCount val="1"/>
                <c:pt idx="0">
                  <c:v>CENTRAL COMERCIO DE COMBUSTIVEIS LTDA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'Tabela e Gráfico'!$A$6:$A$15</c:f>
              <c:strCache>
                <c:ptCount val="10"/>
                <c:pt idx="0">
                  <c:v>27/07/2026</c:v>
                </c:pt>
                <c:pt idx="1">
                  <c:v>28/07/2026</c:v>
                </c:pt>
                <c:pt idx="2">
                  <c:v>03/08/2026</c:v>
                </c:pt>
                <c:pt idx="3">
                  <c:v>04/08/2026</c:v>
                </c:pt>
                <c:pt idx="4">
                  <c:v>10/08/2026</c:v>
                </c:pt>
                <c:pt idx="5">
                  <c:v>11/08/2026</c:v>
                </c:pt>
                <c:pt idx="6">
                  <c:v>17/08/2026</c:v>
                </c:pt>
                <c:pt idx="7">
                  <c:v>18/08/2026</c:v>
                </c:pt>
                <c:pt idx="8">
                  <c:v>24/08/2026</c:v>
                </c:pt>
                <c:pt idx="9">
                  <c:v>25/08/2026</c:v>
                </c:pt>
              </c:strCache>
            </c:strRef>
          </c:cat>
          <c:val>
            <c:numRef>
              <c:f>'Tabela e Gráfico'!$C$6:$C$15</c:f>
              <c:numCache>
                <c:formatCode>#,##0</c:formatCode>
                <c:ptCount val="10"/>
                <c:pt idx="1">
                  <c:v>6890</c:v>
                </c:pt>
                <c:pt idx="2">
                  <c:v>6890</c:v>
                </c:pt>
                <c:pt idx="5">
                  <c:v>6890</c:v>
                </c:pt>
                <c:pt idx="6">
                  <c:v>6890</c:v>
                </c:pt>
                <c:pt idx="9">
                  <c:v>6890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1E-4509-996E-1680E2A78799}"/>
            </c:ext>
          </c:extLst>
        </c:ser>
        <c:ser>
          <c:idx val="2"/>
          <c:order val="2"/>
          <c:tx>
            <c:strRef>
              <c:f>'Tabela e Gráfico'!$D$4:$D$5</c:f>
              <c:strCache>
                <c:ptCount val="1"/>
                <c:pt idx="0">
                  <c:v>POSTO METRÓPOLES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'Tabela e Gráfico'!$A$6:$A$15</c:f>
              <c:strCache>
                <c:ptCount val="10"/>
                <c:pt idx="0">
                  <c:v>27/07/2026</c:v>
                </c:pt>
                <c:pt idx="1">
                  <c:v>28/07/2026</c:v>
                </c:pt>
                <c:pt idx="2">
                  <c:v>03/08/2026</c:v>
                </c:pt>
                <c:pt idx="3">
                  <c:v>04/08/2026</c:v>
                </c:pt>
                <c:pt idx="4">
                  <c:v>10/08/2026</c:v>
                </c:pt>
                <c:pt idx="5">
                  <c:v>11/08/2026</c:v>
                </c:pt>
                <c:pt idx="6">
                  <c:v>17/08/2026</c:v>
                </c:pt>
                <c:pt idx="7">
                  <c:v>18/08/2026</c:v>
                </c:pt>
                <c:pt idx="8">
                  <c:v>24/08/2026</c:v>
                </c:pt>
                <c:pt idx="9">
                  <c:v>25/08/2026</c:v>
                </c:pt>
              </c:strCache>
            </c:strRef>
          </c:cat>
          <c:val>
            <c:numRef>
              <c:f>'Tabela e Gráfico'!$D$6:$D$15</c:f>
              <c:numCache>
                <c:formatCode>#,##0</c:formatCode>
                <c:ptCount val="10"/>
                <c:pt idx="1">
                  <c:v>6890</c:v>
                </c:pt>
                <c:pt idx="2">
                  <c:v>6890</c:v>
                </c:pt>
                <c:pt idx="5">
                  <c:v>6890</c:v>
                </c:pt>
                <c:pt idx="6">
                  <c:v>6890</c:v>
                </c:pt>
                <c:pt idx="9">
                  <c:v>6790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1E-4509-996E-1680E2A78799}"/>
            </c:ext>
          </c:extLst>
        </c:ser>
        <c:ser>
          <c:idx val="3"/>
          <c:order val="3"/>
          <c:tx>
            <c:strRef>
              <c:f>'Tabela e Gráfico'!$E$4:$E$5</c:f>
              <c:strCache>
                <c:ptCount val="1"/>
                <c:pt idx="0">
                  <c:v>POSTO TIMS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'Tabela e Gráfico'!$A$6:$A$15</c:f>
              <c:strCache>
                <c:ptCount val="10"/>
                <c:pt idx="0">
                  <c:v>27/07/2026</c:v>
                </c:pt>
                <c:pt idx="1">
                  <c:v>28/07/2026</c:v>
                </c:pt>
                <c:pt idx="2">
                  <c:v>03/08/2026</c:v>
                </c:pt>
                <c:pt idx="3">
                  <c:v>04/08/2026</c:v>
                </c:pt>
                <c:pt idx="4">
                  <c:v>10/08/2026</c:v>
                </c:pt>
                <c:pt idx="5">
                  <c:v>11/08/2026</c:v>
                </c:pt>
                <c:pt idx="6">
                  <c:v>17/08/2026</c:v>
                </c:pt>
                <c:pt idx="7">
                  <c:v>18/08/2026</c:v>
                </c:pt>
                <c:pt idx="8">
                  <c:v>24/08/2026</c:v>
                </c:pt>
                <c:pt idx="9">
                  <c:v>25/08/2026</c:v>
                </c:pt>
              </c:strCache>
            </c:strRef>
          </c:cat>
          <c:val>
            <c:numRef>
              <c:f>'Tabela e Gráfico'!$E$6:$E$15</c:f>
              <c:numCache>
                <c:formatCode>#,##0</c:formatCode>
                <c:ptCount val="10"/>
                <c:pt idx="1">
                  <c:v>6590</c:v>
                </c:pt>
                <c:pt idx="2">
                  <c:v>6590</c:v>
                </c:pt>
                <c:pt idx="5">
                  <c:v>6590</c:v>
                </c:pt>
                <c:pt idx="6">
                  <c:v>6590</c:v>
                </c:pt>
                <c:pt idx="9">
                  <c:v>6590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F1E-4509-996E-1680E2A78799}"/>
            </c:ext>
          </c:extLst>
        </c:ser>
        <c:ser>
          <c:idx val="4"/>
          <c:order val="4"/>
          <c:tx>
            <c:strRef>
              <c:f>'Tabela e Gráfico'!$F$4:$F$5</c:f>
              <c:strCache>
                <c:ptCount val="1"/>
                <c:pt idx="0">
                  <c:v>REDE DE POSTOS SAGUI LTDA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'Tabela e Gráfico'!$A$6:$A$15</c:f>
              <c:strCache>
                <c:ptCount val="10"/>
                <c:pt idx="0">
                  <c:v>27/07/2026</c:v>
                </c:pt>
                <c:pt idx="1">
                  <c:v>28/07/2026</c:v>
                </c:pt>
                <c:pt idx="2">
                  <c:v>03/08/2026</c:v>
                </c:pt>
                <c:pt idx="3">
                  <c:v>04/08/2026</c:v>
                </c:pt>
                <c:pt idx="4">
                  <c:v>10/08/2026</c:v>
                </c:pt>
                <c:pt idx="5">
                  <c:v>11/08/2026</c:v>
                </c:pt>
                <c:pt idx="6">
                  <c:v>17/08/2026</c:v>
                </c:pt>
                <c:pt idx="7">
                  <c:v>18/08/2026</c:v>
                </c:pt>
                <c:pt idx="8">
                  <c:v>24/08/2026</c:v>
                </c:pt>
                <c:pt idx="9">
                  <c:v>25/08/2026</c:v>
                </c:pt>
              </c:strCache>
            </c:strRef>
          </c:cat>
          <c:val>
            <c:numRef>
              <c:f>'Tabela e Gráfico'!$F$6:$F$15</c:f>
              <c:numCache>
                <c:formatCode>#,##0</c:formatCode>
                <c:ptCount val="10"/>
                <c:pt idx="0">
                  <c:v>6990</c:v>
                </c:pt>
                <c:pt idx="3">
                  <c:v>6990</c:v>
                </c:pt>
                <c:pt idx="4">
                  <c:v>6990</c:v>
                </c:pt>
                <c:pt idx="7">
                  <c:v>6990</c:v>
                </c:pt>
                <c:pt idx="8">
                  <c:v>6990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1E-4509-996E-1680E2A7879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0"/>
        <c:axId val="136310479"/>
        <c:axId val="1058409263"/>
      </c:barChart>
      <c:catAx>
        <c:axId val="136310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058409263"/>
        <c:crosses val="autoZero"/>
        <c:auto val="1"/>
        <c:lblAlgn val="ctr"/>
        <c:lblOffset val="100"/>
        <c:noMultiLvlLbl val="0"/>
      </c:catAx>
      <c:valAx>
        <c:axId val="105840926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36310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ln>
                  <a:noFill/>
                </a:ln>
                <a:solidFill>
                  <a:srgbClr val="FFFF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3324624337105769E-2"/>
          <c:y val="2.9759556528188406E-2"/>
          <c:w val="0.2169348962143669"/>
          <c:h val="0.60823820151344732"/>
        </c:manualLayout>
      </c:layout>
      <c:overlay val="0"/>
      <c:spPr>
        <a:solidFill>
          <a:srgbClr val="002060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12700" cap="flat" cmpd="sng" algn="ctr">
      <a:solidFill>
        <a:schemeClr val="tx1">
          <a:lumMod val="15000"/>
          <a:lumOff val="85000"/>
          <a:alpha val="99000"/>
        </a:schemeClr>
      </a:solidFill>
      <a:round/>
    </a:ln>
    <a:effectLst/>
  </c:spPr>
  <c:txPr>
    <a:bodyPr/>
    <a:lstStyle/>
    <a:p>
      <a:pPr>
        <a:defRPr sz="1200">
          <a:ln>
            <a:noFill/>
          </a:ln>
          <a:solidFill>
            <a:schemeClr val="bg1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1582750</xdr:colOff>
      <xdr:row>19</xdr:row>
      <xdr:rowOff>197544</xdr:rowOff>
    </xdr:from>
    <xdr:to>
      <xdr:col>7</xdr:col>
      <xdr:colOff>1387929</xdr:colOff>
      <xdr:row>46</xdr:row>
      <xdr:rowOff>204106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2292C1-595B-03B3-08E3-0CA0AC954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40822</xdr:colOff>
      <xdr:row>20</xdr:row>
      <xdr:rowOff>1</xdr:rowOff>
    </xdr:from>
    <xdr:to>
      <xdr:col>6</xdr:col>
      <xdr:colOff>911679</xdr:colOff>
      <xdr:row>22</xdr:row>
      <xdr:rowOff>108858</xdr:rowOff>
    </xdr:to>
    <xdr:sp macro="" textlink="C2">
      <xdr:nvSpPr>
        <xdr:cNvPr id="3" name="CaixaDeTexto 2">
          <a:extLst>
            <a:ext uri="{FF2B5EF4-FFF2-40B4-BE49-F238E27FC236}">
              <a16:creationId xmlns:a16="http://schemas.microsoft.com/office/drawing/2014/main" id="{F94C61A0-C644-34DF-804E-9AE3919D2C36}"/>
            </a:ext>
          </a:extLst>
        </xdr:cNvPr>
        <xdr:cNvSpPr txBox="1"/>
      </xdr:nvSpPr>
      <xdr:spPr>
        <a:xfrm>
          <a:off x="11049001" y="5388430"/>
          <a:ext cx="7579178" cy="653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EB82C3B-69FC-47C2-842C-7B2A276D6A64}" type="TxLink">
            <a:rPr lang="en-US" sz="3200" b="1" i="0" u="none" strike="noStrike">
              <a:solidFill>
                <a:schemeClr val="accent1">
                  <a:lumMod val="60000"/>
                  <a:lumOff val="40000"/>
                </a:schemeClr>
              </a:solidFill>
              <a:latin typeface="Segoe UI" panose="020B0502040204020203" pitchFamily="34" charset="0"/>
              <a:ea typeface="JetBrainsMono NF"/>
              <a:cs typeface="Segoe UI" panose="020B0502040204020203" pitchFamily="34" charset="0"/>
            </a:rPr>
            <a:pPr algn="ctr"/>
            <a:t>Evolução preço Diesel</a:t>
          </a:fld>
          <a:endParaRPr lang="pt-BR" sz="3200" b="1">
            <a:solidFill>
              <a:schemeClr val="accent1">
                <a:lumMod val="60000"/>
                <a:lumOff val="4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0.41715</cdr:x>
      <cdr:y>0.02872</cdr:y>
    </cdr:from>
    <cdr:to>
      <cdr:x>0.61213</cdr:x>
      <cdr:y>0.11202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DCC0DE8-F811-6CAD-FB6A-3BEC07483B49}"/>
            </a:ext>
          </a:extLst>
        </cdr:cNvPr>
        <cdr:cNvSpPr txBox="1"/>
      </cdr:nvSpPr>
      <cdr:spPr>
        <a:xfrm xmlns:a="http://schemas.openxmlformats.org/drawingml/2006/main">
          <a:off x="8704250" y="197062"/>
          <a:ext cx="4068535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 Mercy" refreshedDate="46286.009871875001" createdVersion="8" refreshedVersion="8" minRefreshableVersion="3" recordCount="100" xr:uid="{6CBB9431-9A81-48E9-A6C8-3E95397EE946}">
  <cacheSource type="worksheet">
    <worksheetSource ref="A1:E101" sheet="Dados"/>
  </cacheSource>
  <cacheFields count="7">
    <cacheField name="nome_posto" numFmtId="0">
      <sharedItems count="5">
        <s v="AUTO POSTO LUCAS - EPP."/>
        <s v="CENTRAL COMERCIO DE COMBUSTIVEIS LTDA"/>
        <s v="POSTO METRÓPOLES"/>
        <s v="POSTO TIMS"/>
        <s v="REDE DE POSTOS SAGUI LTDA"/>
      </sharedItems>
    </cacheField>
    <cacheField name="bairro" numFmtId="0">
      <sharedItems/>
    </cacheField>
    <cacheField name="tipo_combustivel" numFmtId="0">
      <sharedItems count="4">
        <s v="Diesel"/>
        <s v="Etanol"/>
        <s v="Gasolina Aditivada"/>
        <s v="Gasolina Comum"/>
      </sharedItems>
    </cacheField>
    <cacheField name="valor_combustivel" numFmtId="3">
      <sharedItems containsSemiMixedTypes="0" containsString="0" containsNumber="1" containsInteger="1" minValue="4390" maxValue="6990" count="20">
        <n v="6780"/>
        <n v="6680"/>
        <n v="6890"/>
        <n v="6790"/>
        <n v="6590"/>
        <n v="6990"/>
        <n v="4390"/>
        <n v="4590"/>
        <n v="4560"/>
        <n v="4490"/>
        <n v="4690"/>
        <n v="4790"/>
        <n v="6290"/>
        <n v="6490"/>
        <n v="6690"/>
        <n v="6450"/>
        <n v="6350"/>
        <n v="6390"/>
        <n v="6250"/>
        <n v="6150"/>
      </sharedItems>
    </cacheField>
    <cacheField name="data_coleta" numFmtId="14">
      <sharedItems containsSemiMixedTypes="0" containsNonDate="0" containsDate="1" containsString="0" minDate="2026-07-27T00:00:00" maxDate="2026-08-26T00:00:00" count="10">
        <d v="2026-07-27T00:00:00"/>
        <d v="2026-08-04T00:00:00"/>
        <d v="2026-08-10T00:00:00"/>
        <d v="2026-08-18T00:00:00"/>
        <d v="2026-08-24T00:00:00"/>
        <d v="2026-07-28T00:00:00"/>
        <d v="2026-08-03T00:00:00"/>
        <d v="2026-08-11T00:00:00"/>
        <d v="2026-08-17T00:00:00"/>
        <d v="2026-08-25T00:00:00"/>
      </sharedItems>
      <fieldGroup par="6"/>
    </cacheField>
    <cacheField name="Dias (data_coleta)" numFmtId="0" databaseField="0">
      <fieldGroup base="4">
        <rangePr groupBy="days" startDate="2026-07-27T00:00:00" endDate="2026-08-26T00:00:00"/>
        <groupItems count="368">
          <s v="&lt;27/07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6/08/2026"/>
        </groupItems>
      </fieldGroup>
    </cacheField>
    <cacheField name="Meses (data_coleta)" numFmtId="0" databaseField="0">
      <fieldGroup base="4">
        <rangePr groupBy="months" startDate="2026-07-27T00:00:00" endDate="2026-08-26T00:00:00"/>
        <groupItems count="14">
          <s v="&lt;27/07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CASTELANDIA"/>
    <x v="0"/>
    <x v="0"/>
    <x v="0"/>
  </r>
  <r>
    <x v="0"/>
    <s v="CASTELANDIA"/>
    <x v="0"/>
    <x v="0"/>
    <x v="1"/>
  </r>
  <r>
    <x v="0"/>
    <s v="CASTELANDIA"/>
    <x v="0"/>
    <x v="1"/>
    <x v="2"/>
  </r>
  <r>
    <x v="0"/>
    <s v="CASTELANDIA"/>
    <x v="0"/>
    <x v="1"/>
    <x v="3"/>
  </r>
  <r>
    <x v="0"/>
    <s v="CASTELANDIA"/>
    <x v="0"/>
    <x v="1"/>
    <x v="4"/>
  </r>
  <r>
    <x v="1"/>
    <s v="CIVIT II"/>
    <x v="0"/>
    <x v="2"/>
    <x v="5"/>
  </r>
  <r>
    <x v="1"/>
    <s v="CIVIT II"/>
    <x v="0"/>
    <x v="2"/>
    <x v="6"/>
  </r>
  <r>
    <x v="1"/>
    <s v="CIVIT II"/>
    <x v="0"/>
    <x v="2"/>
    <x v="7"/>
  </r>
  <r>
    <x v="1"/>
    <s v="CIVIT II"/>
    <x v="0"/>
    <x v="2"/>
    <x v="8"/>
  </r>
  <r>
    <x v="1"/>
    <s v="CIVIT II"/>
    <x v="0"/>
    <x v="2"/>
    <x v="9"/>
  </r>
  <r>
    <x v="2"/>
    <s v="CIVIT II"/>
    <x v="0"/>
    <x v="2"/>
    <x v="5"/>
  </r>
  <r>
    <x v="2"/>
    <s v="CIVIT II"/>
    <x v="0"/>
    <x v="2"/>
    <x v="6"/>
  </r>
  <r>
    <x v="2"/>
    <s v="CIVIT II"/>
    <x v="0"/>
    <x v="2"/>
    <x v="7"/>
  </r>
  <r>
    <x v="2"/>
    <s v="CIVIT II"/>
    <x v="0"/>
    <x v="2"/>
    <x v="8"/>
  </r>
  <r>
    <x v="2"/>
    <s v="CIVIT II"/>
    <x v="0"/>
    <x v="3"/>
    <x v="9"/>
  </r>
  <r>
    <x v="3"/>
    <s v="TIMS"/>
    <x v="0"/>
    <x v="4"/>
    <x v="5"/>
  </r>
  <r>
    <x v="3"/>
    <s v="TIMS"/>
    <x v="0"/>
    <x v="4"/>
    <x v="6"/>
  </r>
  <r>
    <x v="3"/>
    <s v="TIMS"/>
    <x v="0"/>
    <x v="4"/>
    <x v="7"/>
  </r>
  <r>
    <x v="3"/>
    <s v="TIMS"/>
    <x v="0"/>
    <x v="4"/>
    <x v="8"/>
  </r>
  <r>
    <x v="3"/>
    <s v="TIMS"/>
    <x v="0"/>
    <x v="4"/>
    <x v="9"/>
  </r>
  <r>
    <x v="4"/>
    <s v="SAO DIOGO I"/>
    <x v="0"/>
    <x v="5"/>
    <x v="0"/>
  </r>
  <r>
    <x v="4"/>
    <s v="SAO DIOGO I"/>
    <x v="0"/>
    <x v="5"/>
    <x v="1"/>
  </r>
  <r>
    <x v="4"/>
    <s v="SAO DIOGO I"/>
    <x v="0"/>
    <x v="5"/>
    <x v="2"/>
  </r>
  <r>
    <x v="4"/>
    <s v="SAO DIOGO I"/>
    <x v="0"/>
    <x v="5"/>
    <x v="3"/>
  </r>
  <r>
    <x v="4"/>
    <s v="SAO DIOGO I"/>
    <x v="0"/>
    <x v="5"/>
    <x v="4"/>
  </r>
  <r>
    <x v="0"/>
    <s v="CASTELANDIA"/>
    <x v="1"/>
    <x v="6"/>
    <x v="0"/>
  </r>
  <r>
    <x v="0"/>
    <s v="CASTELANDIA"/>
    <x v="1"/>
    <x v="6"/>
    <x v="1"/>
  </r>
  <r>
    <x v="0"/>
    <s v="CASTELANDIA"/>
    <x v="1"/>
    <x v="6"/>
    <x v="2"/>
  </r>
  <r>
    <x v="0"/>
    <s v="CASTELANDIA"/>
    <x v="1"/>
    <x v="6"/>
    <x v="3"/>
  </r>
  <r>
    <x v="0"/>
    <s v="CASTELANDIA"/>
    <x v="1"/>
    <x v="6"/>
    <x v="4"/>
  </r>
  <r>
    <x v="1"/>
    <s v="CIVIT II"/>
    <x v="1"/>
    <x v="7"/>
    <x v="5"/>
  </r>
  <r>
    <x v="1"/>
    <s v="CIVIT II"/>
    <x v="1"/>
    <x v="7"/>
    <x v="6"/>
  </r>
  <r>
    <x v="1"/>
    <s v="CIVIT II"/>
    <x v="1"/>
    <x v="7"/>
    <x v="7"/>
  </r>
  <r>
    <x v="1"/>
    <s v="CIVIT II"/>
    <x v="1"/>
    <x v="8"/>
    <x v="8"/>
  </r>
  <r>
    <x v="1"/>
    <s v="CIVIT II"/>
    <x v="1"/>
    <x v="9"/>
    <x v="9"/>
  </r>
  <r>
    <x v="2"/>
    <s v="CIVIT II"/>
    <x v="1"/>
    <x v="10"/>
    <x v="5"/>
  </r>
  <r>
    <x v="2"/>
    <s v="CIVIT II"/>
    <x v="1"/>
    <x v="10"/>
    <x v="6"/>
  </r>
  <r>
    <x v="2"/>
    <s v="CIVIT II"/>
    <x v="1"/>
    <x v="10"/>
    <x v="7"/>
  </r>
  <r>
    <x v="2"/>
    <s v="CIVIT II"/>
    <x v="1"/>
    <x v="10"/>
    <x v="8"/>
  </r>
  <r>
    <x v="2"/>
    <s v="CIVIT II"/>
    <x v="1"/>
    <x v="10"/>
    <x v="9"/>
  </r>
  <r>
    <x v="3"/>
    <s v="TIMS"/>
    <x v="1"/>
    <x v="9"/>
    <x v="5"/>
  </r>
  <r>
    <x v="3"/>
    <s v="TIMS"/>
    <x v="1"/>
    <x v="6"/>
    <x v="6"/>
  </r>
  <r>
    <x v="3"/>
    <s v="TIMS"/>
    <x v="1"/>
    <x v="6"/>
    <x v="7"/>
  </r>
  <r>
    <x v="3"/>
    <s v="TIMS"/>
    <x v="1"/>
    <x v="6"/>
    <x v="8"/>
  </r>
  <r>
    <x v="3"/>
    <s v="TIMS"/>
    <x v="1"/>
    <x v="6"/>
    <x v="9"/>
  </r>
  <r>
    <x v="4"/>
    <s v="SAO DIOGO I"/>
    <x v="1"/>
    <x v="11"/>
    <x v="0"/>
  </r>
  <r>
    <x v="4"/>
    <s v="SAO DIOGO I"/>
    <x v="1"/>
    <x v="11"/>
    <x v="1"/>
  </r>
  <r>
    <x v="4"/>
    <s v="SAO DIOGO I"/>
    <x v="1"/>
    <x v="11"/>
    <x v="2"/>
  </r>
  <r>
    <x v="4"/>
    <s v="SAO DIOGO I"/>
    <x v="1"/>
    <x v="11"/>
    <x v="3"/>
  </r>
  <r>
    <x v="4"/>
    <s v="SAO DIOGO I"/>
    <x v="1"/>
    <x v="11"/>
    <x v="4"/>
  </r>
  <r>
    <x v="0"/>
    <s v="CASTELANDIA"/>
    <x v="2"/>
    <x v="4"/>
    <x v="0"/>
  </r>
  <r>
    <x v="0"/>
    <s v="CASTELANDIA"/>
    <x v="2"/>
    <x v="12"/>
    <x v="1"/>
  </r>
  <r>
    <x v="0"/>
    <s v="CASTELANDIA"/>
    <x v="2"/>
    <x v="13"/>
    <x v="2"/>
  </r>
  <r>
    <x v="0"/>
    <s v="CASTELANDIA"/>
    <x v="2"/>
    <x v="13"/>
    <x v="3"/>
  </r>
  <r>
    <x v="0"/>
    <s v="CASTELANDIA"/>
    <x v="2"/>
    <x v="13"/>
    <x v="4"/>
  </r>
  <r>
    <x v="1"/>
    <s v="CIVIT II"/>
    <x v="2"/>
    <x v="14"/>
    <x v="5"/>
  </r>
  <r>
    <x v="1"/>
    <s v="CIVIT II"/>
    <x v="2"/>
    <x v="14"/>
    <x v="6"/>
  </r>
  <r>
    <x v="1"/>
    <s v="CIVIT II"/>
    <x v="2"/>
    <x v="14"/>
    <x v="7"/>
  </r>
  <r>
    <x v="1"/>
    <s v="CIVIT II"/>
    <x v="2"/>
    <x v="14"/>
    <x v="8"/>
  </r>
  <r>
    <x v="1"/>
    <s v="CIVIT II"/>
    <x v="2"/>
    <x v="13"/>
    <x v="9"/>
  </r>
  <r>
    <x v="2"/>
    <s v="CIVIT II"/>
    <x v="2"/>
    <x v="5"/>
    <x v="5"/>
  </r>
  <r>
    <x v="2"/>
    <s v="CIVIT II"/>
    <x v="2"/>
    <x v="5"/>
    <x v="6"/>
  </r>
  <r>
    <x v="2"/>
    <s v="CIVIT II"/>
    <x v="2"/>
    <x v="5"/>
    <x v="7"/>
  </r>
  <r>
    <x v="2"/>
    <s v="CIVIT II"/>
    <x v="2"/>
    <x v="3"/>
    <x v="8"/>
  </r>
  <r>
    <x v="2"/>
    <s v="CIVIT II"/>
    <x v="2"/>
    <x v="3"/>
    <x v="9"/>
  </r>
  <r>
    <x v="3"/>
    <s v="TIMS"/>
    <x v="2"/>
    <x v="4"/>
    <x v="5"/>
  </r>
  <r>
    <x v="3"/>
    <s v="TIMS"/>
    <x v="2"/>
    <x v="15"/>
    <x v="6"/>
  </r>
  <r>
    <x v="3"/>
    <s v="TIMS"/>
    <x v="2"/>
    <x v="15"/>
    <x v="7"/>
  </r>
  <r>
    <x v="3"/>
    <s v="TIMS"/>
    <x v="2"/>
    <x v="15"/>
    <x v="8"/>
  </r>
  <r>
    <x v="3"/>
    <s v="TIMS"/>
    <x v="2"/>
    <x v="16"/>
    <x v="9"/>
  </r>
  <r>
    <x v="4"/>
    <s v="SAO DIOGO I"/>
    <x v="2"/>
    <x v="4"/>
    <x v="0"/>
  </r>
  <r>
    <x v="4"/>
    <s v="SAO DIOGO I"/>
    <x v="2"/>
    <x v="4"/>
    <x v="1"/>
  </r>
  <r>
    <x v="4"/>
    <s v="SAO DIOGO I"/>
    <x v="2"/>
    <x v="4"/>
    <x v="2"/>
  </r>
  <r>
    <x v="4"/>
    <s v="SAO DIOGO I"/>
    <x v="2"/>
    <x v="13"/>
    <x v="3"/>
  </r>
  <r>
    <x v="4"/>
    <s v="SAO DIOGO I"/>
    <x v="2"/>
    <x v="13"/>
    <x v="4"/>
  </r>
  <r>
    <x v="0"/>
    <s v="CASTELANDIA"/>
    <x v="3"/>
    <x v="17"/>
    <x v="0"/>
  </r>
  <r>
    <x v="0"/>
    <s v="CASTELANDIA"/>
    <x v="3"/>
    <x v="12"/>
    <x v="1"/>
  </r>
  <r>
    <x v="0"/>
    <s v="CASTELANDIA"/>
    <x v="3"/>
    <x v="12"/>
    <x v="2"/>
  </r>
  <r>
    <x v="0"/>
    <s v="CASTELANDIA"/>
    <x v="3"/>
    <x v="12"/>
    <x v="3"/>
  </r>
  <r>
    <x v="0"/>
    <s v="CASTELANDIA"/>
    <x v="3"/>
    <x v="12"/>
    <x v="4"/>
  </r>
  <r>
    <x v="1"/>
    <s v="CIVIT II"/>
    <x v="3"/>
    <x v="13"/>
    <x v="5"/>
  </r>
  <r>
    <x v="1"/>
    <s v="CIVIT II"/>
    <x v="3"/>
    <x v="13"/>
    <x v="6"/>
  </r>
  <r>
    <x v="1"/>
    <s v="CIVIT II"/>
    <x v="3"/>
    <x v="13"/>
    <x v="7"/>
  </r>
  <r>
    <x v="1"/>
    <s v="CIVIT II"/>
    <x v="3"/>
    <x v="13"/>
    <x v="8"/>
  </r>
  <r>
    <x v="1"/>
    <s v="CIVIT II"/>
    <x v="3"/>
    <x v="12"/>
    <x v="9"/>
  </r>
  <r>
    <x v="2"/>
    <s v="CIVIT II"/>
    <x v="3"/>
    <x v="13"/>
    <x v="5"/>
  </r>
  <r>
    <x v="2"/>
    <s v="CIVIT II"/>
    <x v="3"/>
    <x v="13"/>
    <x v="6"/>
  </r>
  <r>
    <x v="2"/>
    <s v="CIVIT II"/>
    <x v="3"/>
    <x v="13"/>
    <x v="7"/>
  </r>
  <r>
    <x v="2"/>
    <s v="CIVIT II"/>
    <x v="3"/>
    <x v="12"/>
    <x v="8"/>
  </r>
  <r>
    <x v="2"/>
    <s v="CIVIT II"/>
    <x v="3"/>
    <x v="12"/>
    <x v="9"/>
  </r>
  <r>
    <x v="3"/>
    <s v="TIMS"/>
    <x v="3"/>
    <x v="17"/>
    <x v="5"/>
  </r>
  <r>
    <x v="3"/>
    <s v="TIMS"/>
    <x v="3"/>
    <x v="18"/>
    <x v="6"/>
  </r>
  <r>
    <x v="3"/>
    <s v="TIMS"/>
    <x v="3"/>
    <x v="18"/>
    <x v="7"/>
  </r>
  <r>
    <x v="3"/>
    <s v="TIMS"/>
    <x v="3"/>
    <x v="18"/>
    <x v="8"/>
  </r>
  <r>
    <x v="3"/>
    <s v="TIMS"/>
    <x v="3"/>
    <x v="19"/>
    <x v="9"/>
  </r>
  <r>
    <x v="4"/>
    <s v="SAO DIOGO I"/>
    <x v="3"/>
    <x v="17"/>
    <x v="0"/>
  </r>
  <r>
    <x v="4"/>
    <s v="SAO DIOGO I"/>
    <x v="3"/>
    <x v="17"/>
    <x v="1"/>
  </r>
  <r>
    <x v="4"/>
    <s v="SAO DIOGO I"/>
    <x v="3"/>
    <x v="17"/>
    <x v="2"/>
  </r>
  <r>
    <x v="4"/>
    <s v="SAO DIOGO I"/>
    <x v="3"/>
    <x v="12"/>
    <x v="3"/>
  </r>
  <r>
    <x v="4"/>
    <s v="SAO DIOGO I"/>
    <x v="3"/>
    <x v="1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8AC31-2310-4D93-A8C1-31284BAE46D0}" name="Tabela dinâmica2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2">
  <location ref="A4:F15" firstHeaderRow="1" firstDataRow="2" firstDataCol="1" rowPageCount="1" colPageCount="1"/>
  <pivotFields count="7"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name="Combustivel" axis="axisPage" multipleItemSelectionAllowed="1" showAll="0">
      <items count="5">
        <item x="0"/>
        <item h="1" x="1"/>
        <item h="1" x="2"/>
        <item h="1" x="3"/>
        <item t="default"/>
      </items>
    </pivotField>
    <pivotField dataField="1" numFmtId="3" showAll="0" avgSubtotal="1">
      <items count="21">
        <item x="6"/>
        <item x="9"/>
        <item x="8"/>
        <item x="7"/>
        <item x="10"/>
        <item x="11"/>
        <item x="19"/>
        <item x="18"/>
        <item x="12"/>
        <item x="16"/>
        <item x="17"/>
        <item x="15"/>
        <item x="13"/>
        <item x="4"/>
        <item x="1"/>
        <item x="14"/>
        <item x="0"/>
        <item x="3"/>
        <item x="2"/>
        <item x="5"/>
        <item t="avg"/>
      </items>
    </pivotField>
    <pivotField axis="axisRow" numFmtId="14" showAll="0">
      <items count="11">
        <item x="0"/>
        <item x="5"/>
        <item x="6"/>
        <item x="1"/>
        <item x="2"/>
        <item x="7"/>
        <item x="8"/>
        <item x="3"/>
        <item x="4"/>
        <item x="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pageFields count="1">
    <pageField fld="2" hier="-1"/>
  </pageFields>
  <dataFields count="1">
    <dataField name="Soma de valor_combustivel" fld="3" baseField="4" baseItem="1" numFmtId="3"/>
  </dataFields>
  <formats count="56">
    <format dxfId="552">
      <pivotArea type="all" dataOnly="0" outline="0" fieldPosition="0"/>
    </format>
    <format dxfId="551">
      <pivotArea outline="0" collapsedLevelsAreSubtotals="1" fieldPosition="0"/>
    </format>
    <format dxfId="550">
      <pivotArea type="origin" dataOnly="0" labelOnly="1" outline="0" fieldPosition="0"/>
    </format>
    <format dxfId="549">
      <pivotArea field="0" type="button" dataOnly="0" labelOnly="1" outline="0" axis="axisCol" fieldPosition="0"/>
    </format>
    <format dxfId="548">
      <pivotArea type="topRight" dataOnly="0" labelOnly="1" outline="0" fieldPosition="0"/>
    </format>
    <format dxfId="547">
      <pivotArea field="4" type="button" dataOnly="0" labelOnly="1" outline="0" axis="axisRow" fieldPosition="0"/>
    </format>
    <format dxfId="546">
      <pivotArea dataOnly="0" labelOnly="1" fieldPosition="0">
        <references count="1">
          <reference field="4" count="0"/>
        </references>
      </pivotArea>
    </format>
    <format dxfId="545">
      <pivotArea dataOnly="0" labelOnly="1" fieldPosition="0">
        <references count="1">
          <reference field="0" count="0"/>
        </references>
      </pivotArea>
    </format>
    <format dxfId="544">
      <pivotArea type="all" dataOnly="0" outline="0" fieldPosition="0"/>
    </format>
    <format dxfId="543">
      <pivotArea outline="0" collapsedLevelsAreSubtotals="1" fieldPosition="0"/>
    </format>
    <format dxfId="542">
      <pivotArea type="origin" dataOnly="0" labelOnly="1" outline="0" fieldPosition="0"/>
    </format>
    <format dxfId="541">
      <pivotArea field="0" type="button" dataOnly="0" labelOnly="1" outline="0" axis="axisCol" fieldPosition="0"/>
    </format>
    <format dxfId="540">
      <pivotArea type="topRight" dataOnly="0" labelOnly="1" outline="0" fieldPosition="0"/>
    </format>
    <format dxfId="539">
      <pivotArea field="4" type="button" dataOnly="0" labelOnly="1" outline="0" axis="axisRow" fieldPosition="0"/>
    </format>
    <format dxfId="538">
      <pivotArea dataOnly="0" labelOnly="1" fieldPosition="0">
        <references count="1">
          <reference field="4" count="0"/>
        </references>
      </pivotArea>
    </format>
    <format dxfId="537">
      <pivotArea dataOnly="0" labelOnly="1" fieldPosition="0">
        <references count="1">
          <reference field="0" count="0"/>
        </references>
      </pivotArea>
    </format>
    <format dxfId="536">
      <pivotArea type="all" dataOnly="0" outline="0" fieldPosition="0"/>
    </format>
    <format dxfId="535">
      <pivotArea outline="0" collapsedLevelsAreSubtotals="1" fieldPosition="0"/>
    </format>
    <format dxfId="534">
      <pivotArea dataOnly="0" labelOnly="1" fieldPosition="0">
        <references count="1">
          <reference field="4" count="0"/>
        </references>
      </pivotArea>
    </format>
    <format dxfId="437">
      <pivotArea outline="0" collapsedLevelsAreSubtotals="1" fieldPosition="0"/>
    </format>
    <format dxfId="436">
      <pivotArea dataOnly="0" labelOnly="1" fieldPosition="0">
        <references count="1">
          <reference field="4" count="0"/>
        </references>
      </pivotArea>
    </format>
    <format dxfId="433">
      <pivotArea outline="0" collapsedLevelsAreSubtotals="1" fieldPosition="0"/>
    </format>
    <format dxfId="432">
      <pivotArea dataOnly="0" labelOnly="1" fieldPosition="0">
        <references count="1">
          <reference field="4" count="0"/>
        </references>
      </pivotArea>
    </format>
    <format dxfId="431">
      <pivotArea outline="0" collapsedLevelsAreSubtotals="1" fieldPosition="0"/>
    </format>
    <format dxfId="430">
      <pivotArea dataOnly="0" labelOnly="1" fieldPosition="0">
        <references count="1">
          <reference field="4" count="0"/>
        </references>
      </pivotArea>
    </format>
    <format dxfId="429">
      <pivotArea dataOnly="0" labelOnly="1" fieldPosition="0">
        <references count="1">
          <reference field="4" count="0"/>
        </references>
      </pivotArea>
    </format>
    <format dxfId="428">
      <pivotArea outline="0" collapsedLevelsAreSubtotals="1" fieldPosition="0"/>
    </format>
    <format dxfId="427">
      <pivotArea type="origin" dataOnly="0" labelOnly="1" outline="0" fieldPosition="0"/>
    </format>
    <format dxfId="426">
      <pivotArea field="0" type="button" dataOnly="0" labelOnly="1" outline="0" axis="axisCol" fieldPosition="0"/>
    </format>
    <format dxfId="425">
      <pivotArea type="topRight" dataOnly="0" labelOnly="1" outline="0" fieldPosition="0"/>
    </format>
    <format dxfId="424">
      <pivotArea field="4" type="button" dataOnly="0" labelOnly="1" outline="0" axis="axisRow" fieldPosition="0"/>
    </format>
    <format dxfId="422">
      <pivotArea dataOnly="0" labelOnly="1" fieldPosition="0">
        <references count="1">
          <reference field="0" count="0"/>
        </references>
      </pivotArea>
    </format>
    <format dxfId="420">
      <pivotArea type="origin" dataOnly="0" labelOnly="1" outline="0" fieldPosition="0"/>
    </format>
    <format dxfId="418">
      <pivotArea field="0" type="button" dataOnly="0" labelOnly="1" outline="0" axis="axisCol" fieldPosition="0"/>
    </format>
    <format dxfId="416">
      <pivotArea type="topRight" dataOnly="0" labelOnly="1" outline="0" fieldPosition="0"/>
    </format>
    <format dxfId="414">
      <pivotArea field="4" type="button" dataOnly="0" labelOnly="1" outline="0" axis="axisRow" fieldPosition="0"/>
    </format>
    <format dxfId="412">
      <pivotArea dataOnly="0" labelOnly="1" fieldPosition="0">
        <references count="1">
          <reference field="0" count="0"/>
        </references>
      </pivotArea>
    </format>
    <format dxfId="410">
      <pivotArea type="origin" dataOnly="0" labelOnly="1" outline="0" fieldPosition="0"/>
    </format>
    <format dxfId="409">
      <pivotArea field="0" type="button" dataOnly="0" labelOnly="1" outline="0" axis="axisCol" fieldPosition="0"/>
    </format>
    <format dxfId="408">
      <pivotArea type="topRight" dataOnly="0" labelOnly="1" outline="0" fieldPosition="0"/>
    </format>
    <format dxfId="407">
      <pivotArea field="4" type="button" dataOnly="0" labelOnly="1" outline="0" axis="axisRow" fieldPosition="0"/>
    </format>
    <format dxfId="406">
      <pivotArea dataOnly="0" labelOnly="1" fieldPosition="0">
        <references count="1">
          <reference field="0" count="0"/>
        </references>
      </pivotArea>
    </format>
    <format dxfId="405">
      <pivotArea type="origin" dataOnly="0" labelOnly="1" outline="0" fieldPosition="0"/>
    </format>
    <format dxfId="404">
      <pivotArea field="0" type="button" dataOnly="0" labelOnly="1" outline="0" axis="axisCol" fieldPosition="0"/>
    </format>
    <format dxfId="403">
      <pivotArea type="topRight" dataOnly="0" labelOnly="1" outline="0" fieldPosition="0"/>
    </format>
    <format dxfId="402">
      <pivotArea field="4" type="button" dataOnly="0" labelOnly="1" outline="0" axis="axisRow" fieldPosition="0"/>
    </format>
    <format dxfId="401">
      <pivotArea dataOnly="0" labelOnly="1" fieldPosition="0">
        <references count="1">
          <reference field="0" count="0"/>
        </references>
      </pivotArea>
    </format>
    <format dxfId="400">
      <pivotArea type="origin" dataOnly="0" labelOnly="1" outline="0" fieldPosition="0"/>
    </format>
    <format dxfId="399">
      <pivotArea field="0" type="button" dataOnly="0" labelOnly="1" outline="0" axis="axisCol" fieldPosition="0"/>
    </format>
    <format dxfId="398">
      <pivotArea type="topRight" dataOnly="0" labelOnly="1" outline="0" fieldPosition="0"/>
    </format>
    <format dxfId="397">
      <pivotArea field="4" type="button" dataOnly="0" labelOnly="1" outline="0" axis="axisRow" fieldPosition="0"/>
    </format>
    <format dxfId="396">
      <pivotArea dataOnly="0" labelOnly="1" fieldPosition="0">
        <references count="1">
          <reference field="0" count="0"/>
        </references>
      </pivotArea>
    </format>
    <format dxfId="395">
      <pivotArea outline="0" collapsedLevelsAreSubtotals="1" fieldPosition="0"/>
    </format>
    <format dxfId="394">
      <pivotArea dataOnly="0" labelOnly="1" fieldPosition="0">
        <references count="1">
          <reference field="4" count="0"/>
        </references>
      </pivotArea>
    </format>
    <format dxfId="393">
      <pivotArea outline="0" collapsedLevelsAreSubtotals="1" fieldPosition="0"/>
    </format>
    <format dxfId="392">
      <pivotArea dataOnly="0" labelOnly="1" fieldPosition="0">
        <references count="1">
          <reference field="4" count="0"/>
        </references>
      </pivotArea>
    </format>
  </format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5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6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9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5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5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6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9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3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4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7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21CA-465A-4497-BBB2-2D5B744BB7DA}">
  <dimension ref="A2:F56"/>
  <sheetViews>
    <sheetView tabSelected="1" topLeftCell="A16" zoomScale="70" zoomScaleNormal="70" workbookViewId="0">
      <selection activeCell="A33" sqref="A33"/>
    </sheetView>
  </sheetViews>
  <sheetFormatPr defaultRowHeight="19.5" x14ac:dyDescent="0.35"/>
  <cols>
    <col min="1" max="1" width="26.1796875" bestFit="1" customWidth="1"/>
    <col min="2" max="2" width="26.08984375" bestFit="1" customWidth="1"/>
    <col min="3" max="3" width="44.54296875" bestFit="1" customWidth="1"/>
    <col min="4" max="4" width="20.6328125" bestFit="1" customWidth="1"/>
    <col min="5" max="5" width="12.54296875" bestFit="1" customWidth="1"/>
    <col min="6" max="6" width="29.26953125" bestFit="1" customWidth="1"/>
    <col min="7" max="7" width="33.36328125" bestFit="1" customWidth="1"/>
    <col min="8" max="8" width="31" bestFit="1" customWidth="1"/>
    <col min="9" max="9" width="33.36328125" bestFit="1" customWidth="1"/>
    <col min="10" max="10" width="31" bestFit="1" customWidth="1"/>
    <col min="11" max="11" width="33.36328125" bestFit="1" customWidth="1"/>
    <col min="12" max="12" width="33" bestFit="1" customWidth="1"/>
    <col min="13" max="13" width="38.26953125" bestFit="1" customWidth="1"/>
    <col min="14" max="14" width="18.7265625" bestFit="1" customWidth="1"/>
    <col min="15" max="18" width="10.81640625" bestFit="1" customWidth="1"/>
    <col min="19" max="19" width="23.08984375" bestFit="1" customWidth="1"/>
    <col min="20" max="20" width="12.54296875" bestFit="1" customWidth="1"/>
    <col min="21" max="24" width="10.81640625" bestFit="1" customWidth="1"/>
    <col min="25" max="25" width="17" bestFit="1" customWidth="1"/>
    <col min="26" max="26" width="27.90625" bestFit="1" customWidth="1"/>
    <col min="27" max="30" width="10.81640625" bestFit="1" customWidth="1"/>
    <col min="31" max="31" width="32.26953125" bestFit="1" customWidth="1"/>
    <col min="32" max="32" width="11.81640625" bestFit="1" customWidth="1"/>
  </cols>
  <sheetData>
    <row r="2" spans="1:6" ht="21" x14ac:dyDescent="0.35">
      <c r="A2" s="3" t="s">
        <v>21</v>
      </c>
      <c r="B2" s="4" t="s">
        <v>7</v>
      </c>
      <c r="C2" t="str">
        <f>"Evolução preço "&amp;B2</f>
        <v>Evolução preço Diesel</v>
      </c>
    </row>
    <row r="4" spans="1:6" ht="25.5" x14ac:dyDescent="0.35">
      <c r="A4" s="5" t="s">
        <v>19</v>
      </c>
      <c r="B4" s="5" t="s">
        <v>17</v>
      </c>
      <c r="C4" s="5"/>
      <c r="D4" s="5"/>
      <c r="E4" s="5"/>
      <c r="F4" s="5"/>
    </row>
    <row r="5" spans="1:6" ht="25.5" x14ac:dyDescent="0.35">
      <c r="A5" s="5" t="s">
        <v>20</v>
      </c>
      <c r="B5" s="5" t="s">
        <v>5</v>
      </c>
      <c r="C5" s="5" t="s">
        <v>8</v>
      </c>
      <c r="D5" s="5" t="s">
        <v>18</v>
      </c>
      <c r="E5" s="5" t="s">
        <v>10</v>
      </c>
      <c r="F5" s="5" t="s">
        <v>12</v>
      </c>
    </row>
    <row r="6" spans="1:6" ht="33" x14ac:dyDescent="0.35">
      <c r="A6" s="6">
        <v>46230</v>
      </c>
      <c r="B6" s="7">
        <v>6780</v>
      </c>
      <c r="C6" s="7"/>
      <c r="D6" s="7"/>
      <c r="E6" s="7"/>
      <c r="F6" s="7">
        <v>6990</v>
      </c>
    </row>
    <row r="7" spans="1:6" ht="33" x14ac:dyDescent="0.35">
      <c r="A7" s="6">
        <v>46231</v>
      </c>
      <c r="B7" s="7"/>
      <c r="C7" s="7">
        <v>6890</v>
      </c>
      <c r="D7" s="7">
        <v>6890</v>
      </c>
      <c r="E7" s="7">
        <v>6590</v>
      </c>
      <c r="F7" s="7"/>
    </row>
    <row r="8" spans="1:6" ht="33" x14ac:dyDescent="0.35">
      <c r="A8" s="6">
        <v>46237</v>
      </c>
      <c r="B8" s="7"/>
      <c r="C8" s="7">
        <v>6890</v>
      </c>
      <c r="D8" s="7">
        <v>6890</v>
      </c>
      <c r="E8" s="7">
        <v>6590</v>
      </c>
      <c r="F8" s="7"/>
    </row>
    <row r="9" spans="1:6" ht="33" x14ac:dyDescent="0.35">
      <c r="A9" s="6">
        <v>46238</v>
      </c>
      <c r="B9" s="7">
        <v>6780</v>
      </c>
      <c r="C9" s="7"/>
      <c r="D9" s="7"/>
      <c r="E9" s="7"/>
      <c r="F9" s="7">
        <v>6990</v>
      </c>
    </row>
    <row r="10" spans="1:6" ht="33" x14ac:dyDescent="0.35">
      <c r="A10" s="6">
        <v>46244</v>
      </c>
      <c r="B10" s="7">
        <v>6680</v>
      </c>
      <c r="C10" s="7"/>
      <c r="D10" s="7"/>
      <c r="E10" s="7"/>
      <c r="F10" s="7">
        <v>6990</v>
      </c>
    </row>
    <row r="11" spans="1:6" ht="33" x14ac:dyDescent="0.35">
      <c r="A11" s="6">
        <v>46245</v>
      </c>
      <c r="B11" s="7"/>
      <c r="C11" s="7">
        <v>6890</v>
      </c>
      <c r="D11" s="7">
        <v>6890</v>
      </c>
      <c r="E11" s="7">
        <v>6590</v>
      </c>
      <c r="F11" s="7"/>
    </row>
    <row r="12" spans="1:6" ht="33" x14ac:dyDescent="0.35">
      <c r="A12" s="6">
        <v>46251</v>
      </c>
      <c r="B12" s="7"/>
      <c r="C12" s="7">
        <v>6890</v>
      </c>
      <c r="D12" s="7">
        <v>6890</v>
      </c>
      <c r="E12" s="7">
        <v>6590</v>
      </c>
      <c r="F12" s="7"/>
    </row>
    <row r="13" spans="1:6" ht="33" x14ac:dyDescent="0.35">
      <c r="A13" s="6">
        <v>46252</v>
      </c>
      <c r="B13" s="7">
        <v>6680</v>
      </c>
      <c r="C13" s="7"/>
      <c r="D13" s="7"/>
      <c r="E13" s="7"/>
      <c r="F13" s="7">
        <v>6990</v>
      </c>
    </row>
    <row r="14" spans="1:6" ht="33" x14ac:dyDescent="0.35">
      <c r="A14" s="6">
        <v>46258</v>
      </c>
      <c r="B14" s="7">
        <v>6680</v>
      </c>
      <c r="C14" s="7"/>
      <c r="D14" s="7"/>
      <c r="E14" s="7"/>
      <c r="F14" s="7">
        <v>6990</v>
      </c>
    </row>
    <row r="15" spans="1:6" ht="33" x14ac:dyDescent="0.35">
      <c r="A15" s="6">
        <v>46259</v>
      </c>
      <c r="B15" s="7"/>
      <c r="C15" s="7">
        <v>6890</v>
      </c>
      <c r="D15" s="7">
        <v>6790</v>
      </c>
      <c r="E15" s="7">
        <v>6590</v>
      </c>
      <c r="F15" s="7"/>
    </row>
    <row r="16" spans="1:6" ht="21" x14ac:dyDescent="0.35"/>
    <row r="17" ht="21" x14ac:dyDescent="0.35"/>
    <row r="18" ht="21" x14ac:dyDescent="0.35"/>
    <row r="19" ht="21" x14ac:dyDescent="0.35"/>
    <row r="20" ht="21" x14ac:dyDescent="0.35"/>
    <row r="21" ht="21" x14ac:dyDescent="0.35"/>
    <row r="22" ht="21" x14ac:dyDescent="0.35"/>
    <row r="23" ht="21" x14ac:dyDescent="0.35"/>
    <row r="24" ht="21" x14ac:dyDescent="0.35"/>
    <row r="25" ht="21" x14ac:dyDescent="0.35"/>
    <row r="26" ht="21" x14ac:dyDescent="0.35"/>
    <row r="27" ht="21" x14ac:dyDescent="0.35"/>
    <row r="28" ht="21" x14ac:dyDescent="0.35"/>
    <row r="29" ht="21" x14ac:dyDescent="0.35"/>
    <row r="30" ht="21" x14ac:dyDescent="0.35"/>
    <row r="31" ht="21" x14ac:dyDescent="0.35"/>
    <row r="32" ht="21" x14ac:dyDescent="0.35"/>
    <row r="33" spans="1:1" x14ac:dyDescent="0.35">
      <c r="A33" s="8"/>
    </row>
    <row r="34" spans="1:1" ht="21" x14ac:dyDescent="0.35"/>
    <row r="35" spans="1:1" ht="21" x14ac:dyDescent="0.35"/>
    <row r="36" spans="1:1" ht="21" x14ac:dyDescent="0.35"/>
    <row r="37" spans="1:1" ht="21" x14ac:dyDescent="0.35"/>
    <row r="38" spans="1:1" ht="21" x14ac:dyDescent="0.35"/>
    <row r="39" spans="1:1" ht="21" x14ac:dyDescent="0.35"/>
    <row r="40" spans="1:1" ht="21" x14ac:dyDescent="0.35"/>
    <row r="41" spans="1:1" ht="21" x14ac:dyDescent="0.35"/>
    <row r="42" spans="1:1" ht="21" x14ac:dyDescent="0.35"/>
    <row r="43" spans="1:1" ht="21" x14ac:dyDescent="0.35"/>
    <row r="44" spans="1:1" ht="21" x14ac:dyDescent="0.35"/>
    <row r="45" spans="1:1" ht="21" x14ac:dyDescent="0.35"/>
    <row r="46" spans="1:1" ht="21" x14ac:dyDescent="0.35"/>
    <row r="47" spans="1:1" ht="21" x14ac:dyDescent="0.35"/>
    <row r="48" spans="1:1" ht="21" x14ac:dyDescent="0.35"/>
    <row r="49" ht="21" x14ac:dyDescent="0.35"/>
    <row r="50" ht="21" x14ac:dyDescent="0.35"/>
    <row r="51" ht="21" x14ac:dyDescent="0.35"/>
    <row r="52" ht="21" x14ac:dyDescent="0.35"/>
    <row r="53" ht="21" x14ac:dyDescent="0.35"/>
    <row r="54" ht="21" x14ac:dyDescent="0.35"/>
    <row r="55" ht="21" x14ac:dyDescent="0.35"/>
    <row r="56" ht="21" x14ac:dyDescent="0.35"/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D78F-B131-401E-9D67-F39C5DB1E1BB}">
  <dimension ref="A1:E101"/>
  <sheetViews>
    <sheetView workbookViewId="0"/>
  </sheetViews>
  <sheetFormatPr defaultRowHeight="19.5" x14ac:dyDescent="0.35"/>
  <cols>
    <col min="1" max="1" width="38.453125" bestFit="1" customWidth="1"/>
    <col min="2" max="2" width="11.81640625" bestFit="1" customWidth="1"/>
    <col min="3" max="3" width="19" bestFit="1" customWidth="1"/>
    <col min="4" max="4" width="18" bestFit="1" customWidth="1"/>
    <col min="5" max="5" width="11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6780</v>
      </c>
      <c r="E2" s="2">
        <v>46230</v>
      </c>
    </row>
    <row r="3" spans="1:5" x14ac:dyDescent="0.35">
      <c r="A3" t="s">
        <v>5</v>
      </c>
      <c r="B3" t="s">
        <v>6</v>
      </c>
      <c r="C3" t="s">
        <v>7</v>
      </c>
      <c r="D3" s="1">
        <v>6780</v>
      </c>
      <c r="E3" s="2">
        <v>46238</v>
      </c>
    </row>
    <row r="4" spans="1:5" x14ac:dyDescent="0.35">
      <c r="A4" t="s">
        <v>5</v>
      </c>
      <c r="B4" t="s">
        <v>6</v>
      </c>
      <c r="C4" t="s">
        <v>7</v>
      </c>
      <c r="D4" s="1">
        <v>6680</v>
      </c>
      <c r="E4" s="2">
        <v>46244</v>
      </c>
    </row>
    <row r="5" spans="1:5" x14ac:dyDescent="0.35">
      <c r="A5" t="s">
        <v>5</v>
      </c>
      <c r="B5" t="s">
        <v>6</v>
      </c>
      <c r="C5" t="s">
        <v>7</v>
      </c>
      <c r="D5" s="1">
        <v>6680</v>
      </c>
      <c r="E5" s="2">
        <v>46252</v>
      </c>
    </row>
    <row r="6" spans="1:5" x14ac:dyDescent="0.35">
      <c r="A6" t="s">
        <v>5</v>
      </c>
      <c r="B6" t="s">
        <v>6</v>
      </c>
      <c r="C6" t="s">
        <v>7</v>
      </c>
      <c r="D6" s="1">
        <v>6680</v>
      </c>
      <c r="E6" s="2">
        <v>46258</v>
      </c>
    </row>
    <row r="7" spans="1:5" x14ac:dyDescent="0.35">
      <c r="A7" t="s">
        <v>8</v>
      </c>
      <c r="B7" t="s">
        <v>9</v>
      </c>
      <c r="C7" t="s">
        <v>7</v>
      </c>
      <c r="D7" s="1">
        <v>6890</v>
      </c>
      <c r="E7" s="2">
        <v>46231</v>
      </c>
    </row>
    <row r="8" spans="1:5" x14ac:dyDescent="0.35">
      <c r="A8" t="s">
        <v>8</v>
      </c>
      <c r="B8" t="s">
        <v>9</v>
      </c>
      <c r="C8" t="s">
        <v>7</v>
      </c>
      <c r="D8" s="1">
        <v>6890</v>
      </c>
      <c r="E8" s="2">
        <v>46237</v>
      </c>
    </row>
    <row r="9" spans="1:5" x14ac:dyDescent="0.35">
      <c r="A9" t="s">
        <v>8</v>
      </c>
      <c r="B9" t="s">
        <v>9</v>
      </c>
      <c r="C9" t="s">
        <v>7</v>
      </c>
      <c r="D9" s="1">
        <v>6890</v>
      </c>
      <c r="E9" s="2">
        <v>46245</v>
      </c>
    </row>
    <row r="10" spans="1:5" x14ac:dyDescent="0.35">
      <c r="A10" t="s">
        <v>8</v>
      </c>
      <c r="B10" t="s">
        <v>9</v>
      </c>
      <c r="C10" t="s">
        <v>7</v>
      </c>
      <c r="D10" s="1">
        <v>6890</v>
      </c>
      <c r="E10" s="2">
        <v>46251</v>
      </c>
    </row>
    <row r="11" spans="1:5" x14ac:dyDescent="0.35">
      <c r="A11" t="s">
        <v>8</v>
      </c>
      <c r="B11" t="s">
        <v>9</v>
      </c>
      <c r="C11" t="s">
        <v>7</v>
      </c>
      <c r="D11" s="1">
        <v>6890</v>
      </c>
      <c r="E11" s="2">
        <v>46259</v>
      </c>
    </row>
    <row r="12" spans="1:5" x14ac:dyDescent="0.35">
      <c r="A12" t="s">
        <v>18</v>
      </c>
      <c r="B12" t="s">
        <v>9</v>
      </c>
      <c r="C12" t="s">
        <v>7</v>
      </c>
      <c r="D12" s="1">
        <v>6890</v>
      </c>
      <c r="E12" s="2">
        <v>46231</v>
      </c>
    </row>
    <row r="13" spans="1:5" x14ac:dyDescent="0.35">
      <c r="A13" t="s">
        <v>18</v>
      </c>
      <c r="B13" t="s">
        <v>9</v>
      </c>
      <c r="C13" t="s">
        <v>7</v>
      </c>
      <c r="D13" s="1">
        <v>6890</v>
      </c>
      <c r="E13" s="2">
        <v>46237</v>
      </c>
    </row>
    <row r="14" spans="1:5" x14ac:dyDescent="0.35">
      <c r="A14" t="s">
        <v>18</v>
      </c>
      <c r="B14" t="s">
        <v>9</v>
      </c>
      <c r="C14" t="s">
        <v>7</v>
      </c>
      <c r="D14" s="1">
        <v>6890</v>
      </c>
      <c r="E14" s="2">
        <v>46245</v>
      </c>
    </row>
    <row r="15" spans="1:5" x14ac:dyDescent="0.35">
      <c r="A15" t="s">
        <v>18</v>
      </c>
      <c r="B15" t="s">
        <v>9</v>
      </c>
      <c r="C15" t="s">
        <v>7</v>
      </c>
      <c r="D15" s="1">
        <v>6890</v>
      </c>
      <c r="E15" s="2">
        <v>46251</v>
      </c>
    </row>
    <row r="16" spans="1:5" x14ac:dyDescent="0.35">
      <c r="A16" t="s">
        <v>18</v>
      </c>
      <c r="B16" t="s">
        <v>9</v>
      </c>
      <c r="C16" t="s">
        <v>7</v>
      </c>
      <c r="D16" s="1">
        <v>6790</v>
      </c>
      <c r="E16" s="2">
        <v>46259</v>
      </c>
    </row>
    <row r="17" spans="1:5" x14ac:dyDescent="0.35">
      <c r="A17" t="s">
        <v>10</v>
      </c>
      <c r="B17" t="s">
        <v>11</v>
      </c>
      <c r="C17" t="s">
        <v>7</v>
      </c>
      <c r="D17" s="1">
        <v>6590</v>
      </c>
      <c r="E17" s="2">
        <v>46231</v>
      </c>
    </row>
    <row r="18" spans="1:5" x14ac:dyDescent="0.35">
      <c r="A18" t="s">
        <v>10</v>
      </c>
      <c r="B18" t="s">
        <v>11</v>
      </c>
      <c r="C18" t="s">
        <v>7</v>
      </c>
      <c r="D18" s="1">
        <v>6590</v>
      </c>
      <c r="E18" s="2">
        <v>46237</v>
      </c>
    </row>
    <row r="19" spans="1:5" x14ac:dyDescent="0.35">
      <c r="A19" t="s">
        <v>10</v>
      </c>
      <c r="B19" t="s">
        <v>11</v>
      </c>
      <c r="C19" t="s">
        <v>7</v>
      </c>
      <c r="D19" s="1">
        <v>6590</v>
      </c>
      <c r="E19" s="2">
        <v>46245</v>
      </c>
    </row>
    <row r="20" spans="1:5" x14ac:dyDescent="0.35">
      <c r="A20" t="s">
        <v>10</v>
      </c>
      <c r="B20" t="s">
        <v>11</v>
      </c>
      <c r="C20" t="s">
        <v>7</v>
      </c>
      <c r="D20" s="1">
        <v>6590</v>
      </c>
      <c r="E20" s="2">
        <v>46251</v>
      </c>
    </row>
    <row r="21" spans="1:5" x14ac:dyDescent="0.35">
      <c r="A21" t="s">
        <v>10</v>
      </c>
      <c r="B21" t="s">
        <v>11</v>
      </c>
      <c r="C21" t="s">
        <v>7</v>
      </c>
      <c r="D21" s="1">
        <v>6590</v>
      </c>
      <c r="E21" s="2">
        <v>46259</v>
      </c>
    </row>
    <row r="22" spans="1:5" x14ac:dyDescent="0.35">
      <c r="A22" t="s">
        <v>12</v>
      </c>
      <c r="B22" t="s">
        <v>13</v>
      </c>
      <c r="C22" t="s">
        <v>7</v>
      </c>
      <c r="D22" s="1">
        <v>6990</v>
      </c>
      <c r="E22" s="2">
        <v>46230</v>
      </c>
    </row>
    <row r="23" spans="1:5" x14ac:dyDescent="0.35">
      <c r="A23" t="s">
        <v>12</v>
      </c>
      <c r="B23" t="s">
        <v>13</v>
      </c>
      <c r="C23" t="s">
        <v>7</v>
      </c>
      <c r="D23" s="1">
        <v>6990</v>
      </c>
      <c r="E23" s="2">
        <v>46238</v>
      </c>
    </row>
    <row r="24" spans="1:5" x14ac:dyDescent="0.35">
      <c r="A24" t="s">
        <v>12</v>
      </c>
      <c r="B24" t="s">
        <v>13</v>
      </c>
      <c r="C24" t="s">
        <v>7</v>
      </c>
      <c r="D24" s="1">
        <v>6990</v>
      </c>
      <c r="E24" s="2">
        <v>46244</v>
      </c>
    </row>
    <row r="25" spans="1:5" x14ac:dyDescent="0.35">
      <c r="A25" t="s">
        <v>12</v>
      </c>
      <c r="B25" t="s">
        <v>13</v>
      </c>
      <c r="C25" t="s">
        <v>7</v>
      </c>
      <c r="D25" s="1">
        <v>6990</v>
      </c>
      <c r="E25" s="2">
        <v>46252</v>
      </c>
    </row>
    <row r="26" spans="1:5" x14ac:dyDescent="0.35">
      <c r="A26" t="s">
        <v>12</v>
      </c>
      <c r="B26" t="s">
        <v>13</v>
      </c>
      <c r="C26" t="s">
        <v>7</v>
      </c>
      <c r="D26" s="1">
        <v>6990</v>
      </c>
      <c r="E26" s="2">
        <v>46258</v>
      </c>
    </row>
    <row r="27" spans="1:5" x14ac:dyDescent="0.35">
      <c r="A27" t="s">
        <v>5</v>
      </c>
      <c r="B27" t="s">
        <v>6</v>
      </c>
      <c r="C27" t="s">
        <v>14</v>
      </c>
      <c r="D27" s="1">
        <v>4390</v>
      </c>
      <c r="E27" s="2">
        <v>46230</v>
      </c>
    </row>
    <row r="28" spans="1:5" x14ac:dyDescent="0.35">
      <c r="A28" t="s">
        <v>5</v>
      </c>
      <c r="B28" t="s">
        <v>6</v>
      </c>
      <c r="C28" t="s">
        <v>14</v>
      </c>
      <c r="D28" s="1">
        <v>4390</v>
      </c>
      <c r="E28" s="2">
        <v>46238</v>
      </c>
    </row>
    <row r="29" spans="1:5" x14ac:dyDescent="0.35">
      <c r="A29" t="s">
        <v>5</v>
      </c>
      <c r="B29" t="s">
        <v>6</v>
      </c>
      <c r="C29" t="s">
        <v>14</v>
      </c>
      <c r="D29" s="1">
        <v>4390</v>
      </c>
      <c r="E29" s="2">
        <v>46244</v>
      </c>
    </row>
    <row r="30" spans="1:5" x14ac:dyDescent="0.35">
      <c r="A30" t="s">
        <v>5</v>
      </c>
      <c r="B30" t="s">
        <v>6</v>
      </c>
      <c r="C30" t="s">
        <v>14</v>
      </c>
      <c r="D30" s="1">
        <v>4390</v>
      </c>
      <c r="E30" s="2">
        <v>46252</v>
      </c>
    </row>
    <row r="31" spans="1:5" x14ac:dyDescent="0.35">
      <c r="A31" t="s">
        <v>5</v>
      </c>
      <c r="B31" t="s">
        <v>6</v>
      </c>
      <c r="C31" t="s">
        <v>14</v>
      </c>
      <c r="D31" s="1">
        <v>4390</v>
      </c>
      <c r="E31" s="2">
        <v>46258</v>
      </c>
    </row>
    <row r="32" spans="1:5" x14ac:dyDescent="0.35">
      <c r="A32" t="s">
        <v>8</v>
      </c>
      <c r="B32" t="s">
        <v>9</v>
      </c>
      <c r="C32" t="s">
        <v>14</v>
      </c>
      <c r="D32" s="1">
        <v>4590</v>
      </c>
      <c r="E32" s="2">
        <v>46231</v>
      </c>
    </row>
    <row r="33" spans="1:5" x14ac:dyDescent="0.35">
      <c r="A33" t="s">
        <v>8</v>
      </c>
      <c r="B33" t="s">
        <v>9</v>
      </c>
      <c r="C33" t="s">
        <v>14</v>
      </c>
      <c r="D33" s="1">
        <v>4590</v>
      </c>
      <c r="E33" s="2">
        <v>46237</v>
      </c>
    </row>
    <row r="34" spans="1:5" x14ac:dyDescent="0.35">
      <c r="A34" t="s">
        <v>8</v>
      </c>
      <c r="B34" t="s">
        <v>9</v>
      </c>
      <c r="C34" t="s">
        <v>14</v>
      </c>
      <c r="D34" s="1">
        <v>4590</v>
      </c>
      <c r="E34" s="2">
        <v>46245</v>
      </c>
    </row>
    <row r="35" spans="1:5" x14ac:dyDescent="0.35">
      <c r="A35" t="s">
        <v>8</v>
      </c>
      <c r="B35" t="s">
        <v>9</v>
      </c>
      <c r="C35" t="s">
        <v>14</v>
      </c>
      <c r="D35" s="1">
        <v>4560</v>
      </c>
      <c r="E35" s="2">
        <v>46251</v>
      </c>
    </row>
    <row r="36" spans="1:5" x14ac:dyDescent="0.35">
      <c r="A36" t="s">
        <v>8</v>
      </c>
      <c r="B36" t="s">
        <v>9</v>
      </c>
      <c r="C36" t="s">
        <v>14</v>
      </c>
      <c r="D36" s="1">
        <v>4490</v>
      </c>
      <c r="E36" s="2">
        <v>46259</v>
      </c>
    </row>
    <row r="37" spans="1:5" x14ac:dyDescent="0.35">
      <c r="A37" t="s">
        <v>18</v>
      </c>
      <c r="B37" t="s">
        <v>9</v>
      </c>
      <c r="C37" t="s">
        <v>14</v>
      </c>
      <c r="D37" s="1">
        <v>4690</v>
      </c>
      <c r="E37" s="2">
        <v>46231</v>
      </c>
    </row>
    <row r="38" spans="1:5" x14ac:dyDescent="0.35">
      <c r="A38" t="s">
        <v>18</v>
      </c>
      <c r="B38" t="s">
        <v>9</v>
      </c>
      <c r="C38" t="s">
        <v>14</v>
      </c>
      <c r="D38" s="1">
        <v>4690</v>
      </c>
      <c r="E38" s="2">
        <v>46237</v>
      </c>
    </row>
    <row r="39" spans="1:5" x14ac:dyDescent="0.35">
      <c r="A39" t="s">
        <v>18</v>
      </c>
      <c r="B39" t="s">
        <v>9</v>
      </c>
      <c r="C39" t="s">
        <v>14</v>
      </c>
      <c r="D39" s="1">
        <v>4690</v>
      </c>
      <c r="E39" s="2">
        <v>46245</v>
      </c>
    </row>
    <row r="40" spans="1:5" x14ac:dyDescent="0.35">
      <c r="A40" t="s">
        <v>18</v>
      </c>
      <c r="B40" t="s">
        <v>9</v>
      </c>
      <c r="C40" t="s">
        <v>14</v>
      </c>
      <c r="D40" s="1">
        <v>4690</v>
      </c>
      <c r="E40" s="2">
        <v>46251</v>
      </c>
    </row>
    <row r="41" spans="1:5" x14ac:dyDescent="0.35">
      <c r="A41" t="s">
        <v>18</v>
      </c>
      <c r="B41" t="s">
        <v>9</v>
      </c>
      <c r="C41" t="s">
        <v>14</v>
      </c>
      <c r="D41" s="1">
        <v>4690</v>
      </c>
      <c r="E41" s="2">
        <v>46259</v>
      </c>
    </row>
    <row r="42" spans="1:5" x14ac:dyDescent="0.35">
      <c r="A42" t="s">
        <v>10</v>
      </c>
      <c r="B42" t="s">
        <v>11</v>
      </c>
      <c r="C42" t="s">
        <v>14</v>
      </c>
      <c r="D42" s="1">
        <v>4490</v>
      </c>
      <c r="E42" s="2">
        <v>46231</v>
      </c>
    </row>
    <row r="43" spans="1:5" x14ac:dyDescent="0.35">
      <c r="A43" t="s">
        <v>10</v>
      </c>
      <c r="B43" t="s">
        <v>11</v>
      </c>
      <c r="C43" t="s">
        <v>14</v>
      </c>
      <c r="D43" s="1">
        <v>4390</v>
      </c>
      <c r="E43" s="2">
        <v>46237</v>
      </c>
    </row>
    <row r="44" spans="1:5" x14ac:dyDescent="0.35">
      <c r="A44" t="s">
        <v>10</v>
      </c>
      <c r="B44" t="s">
        <v>11</v>
      </c>
      <c r="C44" t="s">
        <v>14</v>
      </c>
      <c r="D44" s="1">
        <v>4390</v>
      </c>
      <c r="E44" s="2">
        <v>46245</v>
      </c>
    </row>
    <row r="45" spans="1:5" x14ac:dyDescent="0.35">
      <c r="A45" t="s">
        <v>10</v>
      </c>
      <c r="B45" t="s">
        <v>11</v>
      </c>
      <c r="C45" t="s">
        <v>14</v>
      </c>
      <c r="D45" s="1">
        <v>4390</v>
      </c>
      <c r="E45" s="2">
        <v>46251</v>
      </c>
    </row>
    <row r="46" spans="1:5" x14ac:dyDescent="0.35">
      <c r="A46" t="s">
        <v>10</v>
      </c>
      <c r="B46" t="s">
        <v>11</v>
      </c>
      <c r="C46" t="s">
        <v>14</v>
      </c>
      <c r="D46" s="1">
        <v>4390</v>
      </c>
      <c r="E46" s="2">
        <v>46259</v>
      </c>
    </row>
    <row r="47" spans="1:5" x14ac:dyDescent="0.35">
      <c r="A47" t="s">
        <v>12</v>
      </c>
      <c r="B47" t="s">
        <v>13</v>
      </c>
      <c r="C47" t="s">
        <v>14</v>
      </c>
      <c r="D47" s="1">
        <v>4790</v>
      </c>
      <c r="E47" s="2">
        <v>46230</v>
      </c>
    </row>
    <row r="48" spans="1:5" x14ac:dyDescent="0.35">
      <c r="A48" t="s">
        <v>12</v>
      </c>
      <c r="B48" t="s">
        <v>13</v>
      </c>
      <c r="C48" t="s">
        <v>14</v>
      </c>
      <c r="D48" s="1">
        <v>4790</v>
      </c>
      <c r="E48" s="2">
        <v>46238</v>
      </c>
    </row>
    <row r="49" spans="1:5" x14ac:dyDescent="0.35">
      <c r="A49" t="s">
        <v>12</v>
      </c>
      <c r="B49" t="s">
        <v>13</v>
      </c>
      <c r="C49" t="s">
        <v>14</v>
      </c>
      <c r="D49" s="1">
        <v>4790</v>
      </c>
      <c r="E49" s="2">
        <v>46244</v>
      </c>
    </row>
    <row r="50" spans="1:5" x14ac:dyDescent="0.35">
      <c r="A50" t="s">
        <v>12</v>
      </c>
      <c r="B50" t="s">
        <v>13</v>
      </c>
      <c r="C50" t="s">
        <v>14</v>
      </c>
      <c r="D50" s="1">
        <v>4790</v>
      </c>
      <c r="E50" s="2">
        <v>46252</v>
      </c>
    </row>
    <row r="51" spans="1:5" x14ac:dyDescent="0.35">
      <c r="A51" t="s">
        <v>12</v>
      </c>
      <c r="B51" t="s">
        <v>13</v>
      </c>
      <c r="C51" t="s">
        <v>14</v>
      </c>
      <c r="D51" s="1">
        <v>4790</v>
      </c>
      <c r="E51" s="2">
        <v>46258</v>
      </c>
    </row>
    <row r="52" spans="1:5" x14ac:dyDescent="0.35">
      <c r="A52" t="s">
        <v>5</v>
      </c>
      <c r="B52" t="s">
        <v>6</v>
      </c>
      <c r="C52" t="s">
        <v>15</v>
      </c>
      <c r="D52" s="1">
        <v>6590</v>
      </c>
      <c r="E52" s="2">
        <v>46230</v>
      </c>
    </row>
    <row r="53" spans="1:5" x14ac:dyDescent="0.35">
      <c r="A53" t="s">
        <v>5</v>
      </c>
      <c r="B53" t="s">
        <v>6</v>
      </c>
      <c r="C53" t="s">
        <v>15</v>
      </c>
      <c r="D53" s="1">
        <v>6290</v>
      </c>
      <c r="E53" s="2">
        <v>46238</v>
      </c>
    </row>
    <row r="54" spans="1:5" x14ac:dyDescent="0.35">
      <c r="A54" t="s">
        <v>5</v>
      </c>
      <c r="B54" t="s">
        <v>6</v>
      </c>
      <c r="C54" t="s">
        <v>15</v>
      </c>
      <c r="D54" s="1">
        <v>6490</v>
      </c>
      <c r="E54" s="2">
        <v>46244</v>
      </c>
    </row>
    <row r="55" spans="1:5" x14ac:dyDescent="0.35">
      <c r="A55" t="s">
        <v>5</v>
      </c>
      <c r="B55" t="s">
        <v>6</v>
      </c>
      <c r="C55" t="s">
        <v>15</v>
      </c>
      <c r="D55" s="1">
        <v>6490</v>
      </c>
      <c r="E55" s="2">
        <v>46252</v>
      </c>
    </row>
    <row r="56" spans="1:5" x14ac:dyDescent="0.35">
      <c r="A56" t="s">
        <v>5</v>
      </c>
      <c r="B56" t="s">
        <v>6</v>
      </c>
      <c r="C56" t="s">
        <v>15</v>
      </c>
      <c r="D56" s="1">
        <v>6490</v>
      </c>
      <c r="E56" s="2">
        <v>46258</v>
      </c>
    </row>
    <row r="57" spans="1:5" x14ac:dyDescent="0.35">
      <c r="A57" t="s">
        <v>8</v>
      </c>
      <c r="B57" t="s">
        <v>9</v>
      </c>
      <c r="C57" t="s">
        <v>15</v>
      </c>
      <c r="D57" s="1">
        <v>6690</v>
      </c>
      <c r="E57" s="2">
        <v>46231</v>
      </c>
    </row>
    <row r="58" spans="1:5" x14ac:dyDescent="0.35">
      <c r="A58" t="s">
        <v>8</v>
      </c>
      <c r="B58" t="s">
        <v>9</v>
      </c>
      <c r="C58" t="s">
        <v>15</v>
      </c>
      <c r="D58" s="1">
        <v>6690</v>
      </c>
      <c r="E58" s="2">
        <v>46237</v>
      </c>
    </row>
    <row r="59" spans="1:5" x14ac:dyDescent="0.35">
      <c r="A59" t="s">
        <v>8</v>
      </c>
      <c r="B59" t="s">
        <v>9</v>
      </c>
      <c r="C59" t="s">
        <v>15</v>
      </c>
      <c r="D59" s="1">
        <v>6690</v>
      </c>
      <c r="E59" s="2">
        <v>46245</v>
      </c>
    </row>
    <row r="60" spans="1:5" x14ac:dyDescent="0.35">
      <c r="A60" t="s">
        <v>8</v>
      </c>
      <c r="B60" t="s">
        <v>9</v>
      </c>
      <c r="C60" t="s">
        <v>15</v>
      </c>
      <c r="D60" s="1">
        <v>6690</v>
      </c>
      <c r="E60" s="2">
        <v>46251</v>
      </c>
    </row>
    <row r="61" spans="1:5" x14ac:dyDescent="0.35">
      <c r="A61" t="s">
        <v>8</v>
      </c>
      <c r="B61" t="s">
        <v>9</v>
      </c>
      <c r="C61" t="s">
        <v>15</v>
      </c>
      <c r="D61" s="1">
        <v>6490</v>
      </c>
      <c r="E61" s="2">
        <v>46259</v>
      </c>
    </row>
    <row r="62" spans="1:5" x14ac:dyDescent="0.35">
      <c r="A62" t="s">
        <v>18</v>
      </c>
      <c r="B62" t="s">
        <v>9</v>
      </c>
      <c r="C62" t="s">
        <v>15</v>
      </c>
      <c r="D62" s="1">
        <v>6990</v>
      </c>
      <c r="E62" s="2">
        <v>46231</v>
      </c>
    </row>
    <row r="63" spans="1:5" x14ac:dyDescent="0.35">
      <c r="A63" t="s">
        <v>18</v>
      </c>
      <c r="B63" t="s">
        <v>9</v>
      </c>
      <c r="C63" t="s">
        <v>15</v>
      </c>
      <c r="D63" s="1">
        <v>6990</v>
      </c>
      <c r="E63" s="2">
        <v>46237</v>
      </c>
    </row>
    <row r="64" spans="1:5" x14ac:dyDescent="0.35">
      <c r="A64" t="s">
        <v>18</v>
      </c>
      <c r="B64" t="s">
        <v>9</v>
      </c>
      <c r="C64" t="s">
        <v>15</v>
      </c>
      <c r="D64" s="1">
        <v>6990</v>
      </c>
      <c r="E64" s="2">
        <v>46245</v>
      </c>
    </row>
    <row r="65" spans="1:5" x14ac:dyDescent="0.35">
      <c r="A65" t="s">
        <v>18</v>
      </c>
      <c r="B65" t="s">
        <v>9</v>
      </c>
      <c r="C65" t="s">
        <v>15</v>
      </c>
      <c r="D65" s="1">
        <v>6790</v>
      </c>
      <c r="E65" s="2">
        <v>46251</v>
      </c>
    </row>
    <row r="66" spans="1:5" x14ac:dyDescent="0.35">
      <c r="A66" t="s">
        <v>18</v>
      </c>
      <c r="B66" t="s">
        <v>9</v>
      </c>
      <c r="C66" t="s">
        <v>15</v>
      </c>
      <c r="D66" s="1">
        <v>6790</v>
      </c>
      <c r="E66" s="2">
        <v>46259</v>
      </c>
    </row>
    <row r="67" spans="1:5" x14ac:dyDescent="0.35">
      <c r="A67" t="s">
        <v>10</v>
      </c>
      <c r="B67" t="s">
        <v>11</v>
      </c>
      <c r="C67" t="s">
        <v>15</v>
      </c>
      <c r="D67" s="1">
        <v>6590</v>
      </c>
      <c r="E67" s="2">
        <v>46231</v>
      </c>
    </row>
    <row r="68" spans="1:5" x14ac:dyDescent="0.35">
      <c r="A68" t="s">
        <v>10</v>
      </c>
      <c r="B68" t="s">
        <v>11</v>
      </c>
      <c r="C68" t="s">
        <v>15</v>
      </c>
      <c r="D68" s="1">
        <v>6450</v>
      </c>
      <c r="E68" s="2">
        <v>46237</v>
      </c>
    </row>
    <row r="69" spans="1:5" x14ac:dyDescent="0.35">
      <c r="A69" t="s">
        <v>10</v>
      </c>
      <c r="B69" t="s">
        <v>11</v>
      </c>
      <c r="C69" t="s">
        <v>15</v>
      </c>
      <c r="D69" s="1">
        <v>6450</v>
      </c>
      <c r="E69" s="2">
        <v>46245</v>
      </c>
    </row>
    <row r="70" spans="1:5" x14ac:dyDescent="0.35">
      <c r="A70" t="s">
        <v>10</v>
      </c>
      <c r="B70" t="s">
        <v>11</v>
      </c>
      <c r="C70" t="s">
        <v>15</v>
      </c>
      <c r="D70" s="1">
        <v>6450</v>
      </c>
      <c r="E70" s="2">
        <v>46251</v>
      </c>
    </row>
    <row r="71" spans="1:5" x14ac:dyDescent="0.35">
      <c r="A71" t="s">
        <v>10</v>
      </c>
      <c r="B71" t="s">
        <v>11</v>
      </c>
      <c r="C71" t="s">
        <v>15</v>
      </c>
      <c r="D71" s="1">
        <v>6350</v>
      </c>
      <c r="E71" s="2">
        <v>46259</v>
      </c>
    </row>
    <row r="72" spans="1:5" x14ac:dyDescent="0.35">
      <c r="A72" t="s">
        <v>12</v>
      </c>
      <c r="B72" t="s">
        <v>13</v>
      </c>
      <c r="C72" t="s">
        <v>15</v>
      </c>
      <c r="D72" s="1">
        <v>6590</v>
      </c>
      <c r="E72" s="2">
        <v>46230</v>
      </c>
    </row>
    <row r="73" spans="1:5" x14ac:dyDescent="0.35">
      <c r="A73" t="s">
        <v>12</v>
      </c>
      <c r="B73" t="s">
        <v>13</v>
      </c>
      <c r="C73" t="s">
        <v>15</v>
      </c>
      <c r="D73" s="1">
        <v>6590</v>
      </c>
      <c r="E73" s="2">
        <v>46238</v>
      </c>
    </row>
    <row r="74" spans="1:5" x14ac:dyDescent="0.35">
      <c r="A74" t="s">
        <v>12</v>
      </c>
      <c r="B74" t="s">
        <v>13</v>
      </c>
      <c r="C74" t="s">
        <v>15</v>
      </c>
      <c r="D74" s="1">
        <v>6590</v>
      </c>
      <c r="E74" s="2">
        <v>46244</v>
      </c>
    </row>
    <row r="75" spans="1:5" x14ac:dyDescent="0.35">
      <c r="A75" t="s">
        <v>12</v>
      </c>
      <c r="B75" t="s">
        <v>13</v>
      </c>
      <c r="C75" t="s">
        <v>15</v>
      </c>
      <c r="D75" s="1">
        <v>6490</v>
      </c>
      <c r="E75" s="2">
        <v>46252</v>
      </c>
    </row>
    <row r="76" spans="1:5" x14ac:dyDescent="0.35">
      <c r="A76" t="s">
        <v>12</v>
      </c>
      <c r="B76" t="s">
        <v>13</v>
      </c>
      <c r="C76" t="s">
        <v>15</v>
      </c>
      <c r="D76" s="1">
        <v>6490</v>
      </c>
      <c r="E76" s="2">
        <v>46258</v>
      </c>
    </row>
    <row r="77" spans="1:5" x14ac:dyDescent="0.35">
      <c r="A77" t="s">
        <v>5</v>
      </c>
      <c r="B77" t="s">
        <v>6</v>
      </c>
      <c r="C77" t="s">
        <v>16</v>
      </c>
      <c r="D77" s="1">
        <v>6390</v>
      </c>
      <c r="E77" s="2">
        <v>46230</v>
      </c>
    </row>
    <row r="78" spans="1:5" x14ac:dyDescent="0.35">
      <c r="A78" t="s">
        <v>5</v>
      </c>
      <c r="B78" t="s">
        <v>6</v>
      </c>
      <c r="C78" t="s">
        <v>16</v>
      </c>
      <c r="D78" s="1">
        <v>6290</v>
      </c>
      <c r="E78" s="2">
        <v>46238</v>
      </c>
    </row>
    <row r="79" spans="1:5" x14ac:dyDescent="0.35">
      <c r="A79" t="s">
        <v>5</v>
      </c>
      <c r="B79" t="s">
        <v>6</v>
      </c>
      <c r="C79" t="s">
        <v>16</v>
      </c>
      <c r="D79" s="1">
        <v>6290</v>
      </c>
      <c r="E79" s="2">
        <v>46244</v>
      </c>
    </row>
    <row r="80" spans="1:5" x14ac:dyDescent="0.35">
      <c r="A80" t="s">
        <v>5</v>
      </c>
      <c r="B80" t="s">
        <v>6</v>
      </c>
      <c r="C80" t="s">
        <v>16</v>
      </c>
      <c r="D80" s="1">
        <v>6290</v>
      </c>
      <c r="E80" s="2">
        <v>46252</v>
      </c>
    </row>
    <row r="81" spans="1:5" x14ac:dyDescent="0.35">
      <c r="A81" t="s">
        <v>5</v>
      </c>
      <c r="B81" t="s">
        <v>6</v>
      </c>
      <c r="C81" t="s">
        <v>16</v>
      </c>
      <c r="D81" s="1">
        <v>6290</v>
      </c>
      <c r="E81" s="2">
        <v>46258</v>
      </c>
    </row>
    <row r="82" spans="1:5" x14ac:dyDescent="0.35">
      <c r="A82" t="s">
        <v>8</v>
      </c>
      <c r="B82" t="s">
        <v>9</v>
      </c>
      <c r="C82" t="s">
        <v>16</v>
      </c>
      <c r="D82" s="1">
        <v>6490</v>
      </c>
      <c r="E82" s="2">
        <v>46231</v>
      </c>
    </row>
    <row r="83" spans="1:5" x14ac:dyDescent="0.35">
      <c r="A83" t="s">
        <v>8</v>
      </c>
      <c r="B83" t="s">
        <v>9</v>
      </c>
      <c r="C83" t="s">
        <v>16</v>
      </c>
      <c r="D83" s="1">
        <v>6490</v>
      </c>
      <c r="E83" s="2">
        <v>46237</v>
      </c>
    </row>
    <row r="84" spans="1:5" x14ac:dyDescent="0.35">
      <c r="A84" t="s">
        <v>8</v>
      </c>
      <c r="B84" t="s">
        <v>9</v>
      </c>
      <c r="C84" t="s">
        <v>16</v>
      </c>
      <c r="D84" s="1">
        <v>6490</v>
      </c>
      <c r="E84" s="2">
        <v>46245</v>
      </c>
    </row>
    <row r="85" spans="1:5" x14ac:dyDescent="0.35">
      <c r="A85" t="s">
        <v>8</v>
      </c>
      <c r="B85" t="s">
        <v>9</v>
      </c>
      <c r="C85" t="s">
        <v>16</v>
      </c>
      <c r="D85" s="1">
        <v>6490</v>
      </c>
      <c r="E85" s="2">
        <v>46251</v>
      </c>
    </row>
    <row r="86" spans="1:5" x14ac:dyDescent="0.35">
      <c r="A86" t="s">
        <v>8</v>
      </c>
      <c r="B86" t="s">
        <v>9</v>
      </c>
      <c r="C86" t="s">
        <v>16</v>
      </c>
      <c r="D86" s="1">
        <v>6290</v>
      </c>
      <c r="E86" s="2">
        <v>46259</v>
      </c>
    </row>
    <row r="87" spans="1:5" x14ac:dyDescent="0.35">
      <c r="A87" t="s">
        <v>18</v>
      </c>
      <c r="B87" t="s">
        <v>9</v>
      </c>
      <c r="C87" t="s">
        <v>16</v>
      </c>
      <c r="D87" s="1">
        <v>6490</v>
      </c>
      <c r="E87" s="2">
        <v>46231</v>
      </c>
    </row>
    <row r="88" spans="1:5" x14ac:dyDescent="0.35">
      <c r="A88" t="s">
        <v>18</v>
      </c>
      <c r="B88" t="s">
        <v>9</v>
      </c>
      <c r="C88" t="s">
        <v>16</v>
      </c>
      <c r="D88" s="1">
        <v>6490</v>
      </c>
      <c r="E88" s="2">
        <v>46237</v>
      </c>
    </row>
    <row r="89" spans="1:5" x14ac:dyDescent="0.35">
      <c r="A89" t="s">
        <v>18</v>
      </c>
      <c r="B89" t="s">
        <v>9</v>
      </c>
      <c r="C89" t="s">
        <v>16</v>
      </c>
      <c r="D89" s="1">
        <v>6490</v>
      </c>
      <c r="E89" s="2">
        <v>46245</v>
      </c>
    </row>
    <row r="90" spans="1:5" x14ac:dyDescent="0.35">
      <c r="A90" t="s">
        <v>18</v>
      </c>
      <c r="B90" t="s">
        <v>9</v>
      </c>
      <c r="C90" t="s">
        <v>16</v>
      </c>
      <c r="D90" s="1">
        <v>6290</v>
      </c>
      <c r="E90" s="2">
        <v>46251</v>
      </c>
    </row>
    <row r="91" spans="1:5" x14ac:dyDescent="0.35">
      <c r="A91" t="s">
        <v>18</v>
      </c>
      <c r="B91" t="s">
        <v>9</v>
      </c>
      <c r="C91" t="s">
        <v>16</v>
      </c>
      <c r="D91" s="1">
        <v>6290</v>
      </c>
      <c r="E91" s="2">
        <v>46259</v>
      </c>
    </row>
    <row r="92" spans="1:5" x14ac:dyDescent="0.35">
      <c r="A92" t="s">
        <v>10</v>
      </c>
      <c r="B92" t="s">
        <v>11</v>
      </c>
      <c r="C92" t="s">
        <v>16</v>
      </c>
      <c r="D92" s="1">
        <v>6390</v>
      </c>
      <c r="E92" s="2">
        <v>46231</v>
      </c>
    </row>
    <row r="93" spans="1:5" x14ac:dyDescent="0.35">
      <c r="A93" t="s">
        <v>10</v>
      </c>
      <c r="B93" t="s">
        <v>11</v>
      </c>
      <c r="C93" t="s">
        <v>16</v>
      </c>
      <c r="D93" s="1">
        <v>6250</v>
      </c>
      <c r="E93" s="2">
        <v>46237</v>
      </c>
    </row>
    <row r="94" spans="1:5" x14ac:dyDescent="0.35">
      <c r="A94" t="s">
        <v>10</v>
      </c>
      <c r="B94" t="s">
        <v>11</v>
      </c>
      <c r="C94" t="s">
        <v>16</v>
      </c>
      <c r="D94" s="1">
        <v>6250</v>
      </c>
      <c r="E94" s="2">
        <v>46245</v>
      </c>
    </row>
    <row r="95" spans="1:5" x14ac:dyDescent="0.35">
      <c r="A95" t="s">
        <v>10</v>
      </c>
      <c r="B95" t="s">
        <v>11</v>
      </c>
      <c r="C95" t="s">
        <v>16</v>
      </c>
      <c r="D95" s="1">
        <v>6250</v>
      </c>
      <c r="E95" s="2">
        <v>46251</v>
      </c>
    </row>
    <row r="96" spans="1:5" x14ac:dyDescent="0.35">
      <c r="A96" t="s">
        <v>10</v>
      </c>
      <c r="B96" t="s">
        <v>11</v>
      </c>
      <c r="C96" t="s">
        <v>16</v>
      </c>
      <c r="D96" s="1">
        <v>6150</v>
      </c>
      <c r="E96" s="2">
        <v>46259</v>
      </c>
    </row>
    <row r="97" spans="1:5" x14ac:dyDescent="0.35">
      <c r="A97" t="s">
        <v>12</v>
      </c>
      <c r="B97" t="s">
        <v>13</v>
      </c>
      <c r="C97" t="s">
        <v>16</v>
      </c>
      <c r="D97" s="1">
        <v>6390</v>
      </c>
      <c r="E97" s="2">
        <v>46230</v>
      </c>
    </row>
    <row r="98" spans="1:5" x14ac:dyDescent="0.35">
      <c r="A98" t="s">
        <v>12</v>
      </c>
      <c r="B98" t="s">
        <v>13</v>
      </c>
      <c r="C98" t="s">
        <v>16</v>
      </c>
      <c r="D98" s="1">
        <v>6390</v>
      </c>
      <c r="E98" s="2">
        <v>46238</v>
      </c>
    </row>
    <row r="99" spans="1:5" x14ac:dyDescent="0.35">
      <c r="A99" t="s">
        <v>12</v>
      </c>
      <c r="B99" t="s">
        <v>13</v>
      </c>
      <c r="C99" t="s">
        <v>16</v>
      </c>
      <c r="D99" s="1">
        <v>6390</v>
      </c>
      <c r="E99" s="2">
        <v>46244</v>
      </c>
    </row>
    <row r="100" spans="1:5" x14ac:dyDescent="0.35">
      <c r="A100" t="s">
        <v>12</v>
      </c>
      <c r="B100" t="s">
        <v>13</v>
      </c>
      <c r="C100" t="s">
        <v>16</v>
      </c>
      <c r="D100" s="1">
        <v>6290</v>
      </c>
      <c r="E100" s="2">
        <v>46252</v>
      </c>
    </row>
    <row r="101" spans="1:5" x14ac:dyDescent="0.35">
      <c r="A101" t="s">
        <v>12</v>
      </c>
      <c r="B101" t="s">
        <v>13</v>
      </c>
      <c r="C101" t="s">
        <v>16</v>
      </c>
      <c r="D101" s="1">
        <v>6290</v>
      </c>
      <c r="E101" s="2">
        <v>46258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E1A360BF9BB4A86ACCD5AAFE51DBD" ma:contentTypeVersion="5" ma:contentTypeDescription="Create a new document." ma:contentTypeScope="" ma:versionID="d2f89b2970a0d8385a619fc2928fce1f">
  <xsd:schema xmlns:xsd="http://www.w3.org/2001/XMLSchema" xmlns:xs="http://www.w3.org/2001/XMLSchema" xmlns:p="http://schemas.microsoft.com/office/2006/metadata/properties" xmlns:ns3="620027d5-9ec6-4fd0-9c3e-a7050843f987" targetNamespace="http://schemas.microsoft.com/office/2006/metadata/properties" ma:root="true" ma:fieldsID="850c925bf72134a36dd528c34b86f108" ns3:_="">
    <xsd:import namespace="620027d5-9ec6-4fd0-9c3e-a7050843f9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027d5-9ec6-4fd0-9c3e-a7050843f9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0027d5-9ec6-4fd0-9c3e-a7050843f987" xsi:nil="true"/>
  </documentManagement>
</p:properties>
</file>

<file path=customXml/itemProps1.xml><?xml version="1.0" encoding="utf-8"?>
<ds:datastoreItem xmlns:ds="http://schemas.openxmlformats.org/officeDocument/2006/customXml" ds:itemID="{C6C45C30-42D2-4637-B914-3AE9A30F6A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0027d5-9ec6-4fd0-9c3e-a7050843f9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7CFFB7-A9D6-4D73-B63D-B3EFE64197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484D7-115C-4932-9544-AF218AC94F73}">
  <ds:schemaRefs>
    <ds:schemaRef ds:uri="http://purl.org/dc/terms/"/>
    <ds:schemaRef ds:uri="620027d5-9ec6-4fd0-9c3e-a7050843f987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e Gráfico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 Mercy</dc:creator>
  <cp:lastModifiedBy>GUSTAVO FERREIRA DE CARVALHO</cp:lastModifiedBy>
  <dcterms:created xsi:type="dcterms:W3CDTF">2026-09-21T03:08:15Z</dcterms:created>
  <dcterms:modified xsi:type="dcterms:W3CDTF">2026-09-21T14:22:43Z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0x010100784E1A360BF9BB4A86ACCD5AAFE51DBD</vt:lpwstr>
  </property>
</Properties>
</file>